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6556ffbb6f7973/Documents/"/>
    </mc:Choice>
  </mc:AlternateContent>
  <xr:revisionPtr revIDLastSave="0" documentId="14_{BBCB38B5-AD03-40FE-8531-901E93E9E0F3}" xr6:coauthVersionLast="47" xr6:coauthVersionMax="47" xr10:uidLastSave="{00000000-0000-0000-0000-000000000000}"/>
  <bookViews>
    <workbookView xWindow="-110" yWindow="-110" windowWidth="19420" windowHeight="10300" xr2:uid="{37294E1F-5D35-4473-9244-D56BB6FC990E}"/>
  </bookViews>
  <sheets>
    <sheet name="vlookup" sheetId="1" r:id="rId1"/>
    <sheet name="Hlook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2" l="1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S11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S7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S3" i="2"/>
  <c r="Q16" i="1"/>
  <c r="Q17" i="1"/>
  <c r="Q15" i="1"/>
  <c r="Q12" i="1"/>
  <c r="Q13" i="1"/>
  <c r="Q14" i="1"/>
  <c r="Q11" i="1"/>
  <c r="Q8" i="1"/>
  <c r="Q9" i="1"/>
  <c r="Q10" i="1"/>
  <c r="Q7" i="1"/>
  <c r="Q4" i="1"/>
  <c r="Q5" i="1"/>
  <c r="Q6" i="1"/>
  <c r="Q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3" i="1"/>
</calcChain>
</file>

<file path=xl/sharedStrings.xml><?xml version="1.0" encoding="utf-8"?>
<sst xmlns="http://schemas.openxmlformats.org/spreadsheetml/2006/main" count="374" uniqueCount="139">
  <si>
    <t>Name</t>
  </si>
  <si>
    <t>Department ID</t>
  </si>
  <si>
    <t>Class Teacher</t>
  </si>
  <si>
    <t>HOD of Department</t>
  </si>
  <si>
    <t>HOD Name</t>
  </si>
  <si>
    <t>Department Name</t>
  </si>
  <si>
    <t>Major Subject</t>
  </si>
  <si>
    <t>Credit</t>
  </si>
  <si>
    <t>Duration of Course (months)</t>
  </si>
  <si>
    <t>nested vlookup</t>
  </si>
  <si>
    <t>vlookup</t>
  </si>
  <si>
    <t>Aditi Sharma</t>
  </si>
  <si>
    <t>Mrs. Gupta</t>
  </si>
  <si>
    <t>Dr. Anil Kumar</t>
  </si>
  <si>
    <t>Computer Science</t>
  </si>
  <si>
    <t>Data Structures</t>
  </si>
  <si>
    <t>Mohan Patel</t>
  </si>
  <si>
    <t>Mr. Singh</t>
  </si>
  <si>
    <t>Prof. Radha Menon</t>
  </si>
  <si>
    <t>Electronics</t>
  </si>
  <si>
    <t>Circuit Design</t>
  </si>
  <si>
    <t>Ria Mehta</t>
  </si>
  <si>
    <t>Ms. Iyer</t>
  </si>
  <si>
    <t>Dr. Mahesh Singh</t>
  </si>
  <si>
    <t>Mechanical Engineering</t>
  </si>
  <si>
    <t>Thermodynamics</t>
  </si>
  <si>
    <t>Neha Joshi</t>
  </si>
  <si>
    <t>Mr. Das</t>
  </si>
  <si>
    <t>Prof. Sneha Joshi</t>
  </si>
  <si>
    <t>Civil Engineering</t>
  </si>
  <si>
    <t>Structural Analysis</t>
  </si>
  <si>
    <t>Arjun Verma</t>
  </si>
  <si>
    <t>Dr. Prakash Patel</t>
  </si>
  <si>
    <t>Electrical Engineering</t>
  </si>
  <si>
    <t>Power Systems</t>
  </si>
  <si>
    <t>Simran Kaur</t>
  </si>
  <si>
    <t>Prof. Kavita Sinha</t>
  </si>
  <si>
    <t>Chemical Engineering</t>
  </si>
  <si>
    <t>Organic Chemistry</t>
  </si>
  <si>
    <t>Karan Singh</t>
  </si>
  <si>
    <t>Dr. Rakesh Goyal</t>
  </si>
  <si>
    <t>Physics</t>
  </si>
  <si>
    <t>Quantum Mechanics</t>
  </si>
  <si>
    <t>Priya Nair</t>
  </si>
  <si>
    <t>Prof. Vimla Rao</t>
  </si>
  <si>
    <t>Mathematics</t>
  </si>
  <si>
    <t>Applied Mathematics</t>
  </si>
  <si>
    <t>Sanjay Rao</t>
  </si>
  <si>
    <t>Dr. Shyam Sundar</t>
  </si>
  <si>
    <t>Biology</t>
  </si>
  <si>
    <t>Microbiology</t>
  </si>
  <si>
    <t>Tanvi Menon</t>
  </si>
  <si>
    <t>Prof. Pankaj Verma</t>
  </si>
  <si>
    <t>Business Administration</t>
  </si>
  <si>
    <t>Marketing</t>
  </si>
  <si>
    <t>Rahul Yadav</t>
  </si>
  <si>
    <t>Dr. Pooja Bansal</t>
  </si>
  <si>
    <t>Psychology</t>
  </si>
  <si>
    <t>Cognitive Psychology</t>
  </si>
  <si>
    <t>Sneha Agarwal</t>
  </si>
  <si>
    <t>Prof. Suresh Mehta</t>
  </si>
  <si>
    <t>Economics</t>
  </si>
  <si>
    <t>Macroeconomics</t>
  </si>
  <si>
    <t>Vikram Chauhan</t>
  </si>
  <si>
    <t>Dr. Reena Sharma</t>
  </si>
  <si>
    <t>English Literature</t>
  </si>
  <si>
    <t>Contemporary Literature</t>
  </si>
  <si>
    <t>Meena Pillai</t>
  </si>
  <si>
    <t>Prof. Munish Jain</t>
  </si>
  <si>
    <t>Environmental Science</t>
  </si>
  <si>
    <t>Ecology</t>
  </si>
  <si>
    <t>Aman Tiwari</t>
  </si>
  <si>
    <t>Dr. Arvind Joshi</t>
  </si>
  <si>
    <t>Architecture</t>
  </si>
  <si>
    <t>Urban Planning</t>
  </si>
  <si>
    <t>Attribute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</si>
  <si>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</si>
  <si>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</si>
  <si>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</si>
  <si>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</si>
  <si>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</si>
  <si>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</si>
  <si>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</si>
  <si>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</si>
  <si>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</si>
  <si>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</si>
  <si>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</si>
  <si>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</si>
  <si>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</si>
  <si>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</si>
  <si>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</si>
  <si>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Department 1</t>
  </si>
  <si>
    <t>Department 2</t>
  </si>
  <si>
    <t>Department 3</t>
  </si>
  <si>
    <t>Department 4</t>
  </si>
  <si>
    <t>Department 5</t>
  </si>
  <si>
    <t>Department 6</t>
  </si>
  <si>
    <t>Department 7</t>
  </si>
  <si>
    <t>Department 8</t>
  </si>
  <si>
    <t>Department 9</t>
  </si>
  <si>
    <t>Department 10</t>
  </si>
  <si>
    <t>Department 11</t>
  </si>
  <si>
    <t>Department 12</t>
  </si>
  <si>
    <t>Department 13</t>
  </si>
  <si>
    <t>Department 14</t>
  </si>
  <si>
    <t>Department 15</t>
  </si>
  <si>
    <t>HOD of Dept</t>
  </si>
  <si>
    <t>Entry 1</t>
  </si>
  <si>
    <t>Entry 2</t>
  </si>
  <si>
    <t>Entry 3</t>
  </si>
  <si>
    <t>Entry 4</t>
  </si>
  <si>
    <t>Entry 5</t>
  </si>
  <si>
    <t>Entry 6</t>
  </si>
  <si>
    <t>Entry 7</t>
  </si>
  <si>
    <t>Entry 8</t>
  </si>
  <si>
    <t>Entry 9</t>
  </si>
  <si>
    <t>Entry 10</t>
  </si>
  <si>
    <t>Entry 11</t>
  </si>
  <si>
    <t>Entry 12</t>
  </si>
  <si>
    <t>Entry 13</t>
  </si>
  <si>
    <t>Entry 14</t>
  </si>
  <si>
    <t>Entry 15</t>
  </si>
  <si>
    <t>Course 1</t>
  </si>
  <si>
    <t>Course 2</t>
  </si>
  <si>
    <t>Course 3</t>
  </si>
  <si>
    <t>Course 4</t>
  </si>
  <si>
    <t>Course 5</t>
  </si>
  <si>
    <t>Course 6</t>
  </si>
  <si>
    <t>Course 7</t>
  </si>
  <si>
    <t>Course 8</t>
  </si>
  <si>
    <t>Course 9</t>
  </si>
  <si>
    <t>Course 10</t>
  </si>
  <si>
    <t>Course 11</t>
  </si>
  <si>
    <t>Course 12</t>
  </si>
  <si>
    <t>Course 13</t>
  </si>
  <si>
    <t>Course 14</t>
  </si>
  <si>
    <t>Course 15</t>
  </si>
  <si>
    <t>Duration (Months)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</si>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</sst>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Aptos Narrow"/>
      <family val="2"/>
      <scheme val="minor"/>
    </font>
    <font>
      <sz val="10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 tint="-0.14999847407452621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33" borderId="0" xfId="0" applyFill="1" applyAlignment="1">
      <alignment horizontal="center"/>
    </xf>
    <xf numFmtId="0" fontId="16" fillId="0" borderId="11" xfId="0" applyFont="1" applyBorder="1"/>
    <xf numFmtId="0" fontId="0" fillId="34" borderId="12" xfId="0" applyFont="1" applyFill="1" applyBorder="1"/>
    <xf numFmtId="0" fontId="0" fillId="0" borderId="12" xfId="0" applyFont="1" applyBorder="1"/>
    <xf numFmtId="0" fontId="0" fillId="0" borderId="0" xfId="0" applyBorder="1"/>
    <xf numFmtId="0" fontId="0" fillId="35" borderId="10" xfId="0" applyFill="1" applyBorder="1" applyAlignment="1"/>
    <xf numFmtId="0" fontId="19" fillId="0" borderId="13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8" fillId="36" borderId="16" xfId="0" applyFont="1" applyFill="1" applyBorder="1" applyAlignment="1">
      <alignment horizontal="left" vertical="center" wrapText="1"/>
    </xf>
    <xf numFmtId="0" fontId="18" fillId="36" borderId="17" xfId="0" applyFont="1" applyFill="1" applyBorder="1" applyAlignment="1">
      <alignment horizontal="left" vertical="center" wrapText="1"/>
    </xf>
    <xf numFmtId="0" fontId="18" fillId="36" borderId="18" xfId="0" applyFont="1" applyFill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34" borderId="13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left" vertical="center" wrapText="1"/>
    </xf>
    <xf numFmtId="0" fontId="21" fillId="38" borderId="10" xfId="0" applyFont="1" applyFill="1" applyBorder="1" applyAlignment="1">
      <alignment horizontal="left" vertical="center" wrapText="1"/>
    </xf>
    <xf numFmtId="0" fontId="20" fillId="37" borderId="22" xfId="0" applyFont="1" applyFill="1" applyBorder="1" applyAlignment="1">
      <alignment horizontal="center"/>
    </xf>
    <xf numFmtId="0" fontId="20" fillId="37" borderId="23" xfId="0" applyFont="1" applyFill="1" applyBorder="1" applyAlignment="1">
      <alignment horizontal="center"/>
    </xf>
    <xf numFmtId="0" fontId="20" fillId="37" borderId="24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bottom style="medium">
          <color rgb="FFDDDDDD"/>
        </bottom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bottom style="medium">
          <color rgb="FFDDDDDD"/>
        </bottom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bottom style="medium">
          <color rgb="FFDDDDDD"/>
        </bottom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/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border outline="0">
        <top style="medium">
          <color rgb="FFDDDDDD"/>
        </top>
      </border>
    </dxf>
    <dxf>
      <border outline="0">
        <bottom style="medium">
          <color rgb="FFDDDDDD"/>
        </bottom>
      </border>
    </dxf>
    <dxf>
      <border outline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1703F-352A-4CB5-B36D-CBD2CE32CBB7}" name="Table1" displayName="Table1" ref="A1:C16" totalsRowShown="0">
  <autoFilter ref="A1:C16" xr:uid="{B0E1703F-352A-4CB5-B36D-CBD2CE32CBB7}"/>
  <tableColumns count="3">
    <tableColumn id="1" xr3:uid="{75610EC0-5928-41DE-9651-AF585FF09297}" name="Name"/>
    <tableColumn id="2" xr3:uid="{2DE01389-5E4D-444A-B25A-92495A49DE36}" name="Department ID"/>
    <tableColumn id="3" xr3:uid="{B3BF6542-A2E9-4865-93C2-A68FF0459FC1}" name="Class Teacher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AC9BB9-D0FF-4174-A78B-5FA571D45901}" name="Table3" displayName="Table3" ref="E1:F16" totalsRowShown="0">
  <autoFilter ref="E1:F16" xr:uid="{05AC9BB9-D0FF-4174-A78B-5FA571D45901}"/>
  <tableColumns count="2">
    <tableColumn id="1" xr3:uid="{7555AEDA-DE89-45FD-821C-A1522AC64D57}" name="Department ID"/>
    <tableColumn id="2" xr3:uid="{06EFE771-DD71-48A2-99E9-B388509B3478}" name="HOD of Department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51CEED-8EC9-4C0F-81DB-D9692C2548C8}" name="Table5" displayName="Table5" ref="H1:J17" totalsRowShown="0">
  <autoFilter ref="H1:J17" xr:uid="{C851CEED-8EC9-4C0F-81DB-D9692C2548C8}"/>
  <tableColumns count="3">
    <tableColumn id="1" xr3:uid="{279C3273-9B56-40A8-872D-E6B23EFC4F4A}" name="HOD Name"/>
    <tableColumn id="2" xr3:uid="{4173E892-8D2E-4542-82C7-3244CF00C45A}" name="Department Name"/>
    <tableColumn id="3" xr3:uid="{BFB7E1FA-B548-47EB-AA95-0AFC71798EA6}" name="Major Subject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B519CC-6188-4525-9890-87FBAED05DCD}" name="Table6" displayName="Table6" ref="L1:N16" totalsRowShown="0">
  <autoFilter ref="L1:N16" xr:uid="{DBB519CC-6188-4525-9890-87FBAED05DCD}"/>
  <tableColumns count="3">
    <tableColumn id="1" xr3:uid="{A3708235-F058-42D7-9685-8E95406E6DE1}" name="Major Subject"/>
    <tableColumn id="2" xr3:uid="{F777BE09-ADCE-4890-9CCC-C554E3A01918}" name="Credit"/>
    <tableColumn id="3" xr3:uid="{18A6E51A-6C5C-4B41-8018-E2BFEF448A17}" name="Duration of Course (months)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EC01FD-BB29-45B8-B98C-DEBFF2145567}" name="Table4" displayName="Table4" ref="A1:P4" totalsRowShown="0" headerRowDxfId="63" dataDxfId="64" headerRowBorderDxfId="82" tableBorderDxfId="83" totalsRowBorderDxfId="81">
  <autoFilter ref="A1:P4" xr:uid="{D5EC01FD-BB29-45B8-B98C-DEBFF2145567}"/>
  <tableColumns count="16">
    <tableColumn id="1" xr3:uid="{938E9CA8-4B94-4ED7-BF64-9DDC812D5FCD}" name="Attribute" dataDxfId="80"/>
    <tableColumn id="2" xr3:uid="{A2CEDBA5-12BC-4056-90D6-118036D20442}" name="Student 1" dataDxfId="79"/>
    <tableColumn id="3" xr3:uid="{879D5A18-0AF3-4536-B099-F2F401498425}" name="Student 2" dataDxfId="78"/>
    <tableColumn id="4" xr3:uid="{AFDD76BD-A6B7-4D11-B145-D5189184BC70}" name="Student 3" dataDxfId="77"/>
    <tableColumn id="5" xr3:uid="{71ABF63B-2C6A-44B0-98DD-D2A6218F943F}" name="Student 4" dataDxfId="76"/>
    <tableColumn id="6" xr3:uid="{32C9CC3A-CB2C-438F-B449-88B88538EDAF}" name="Student 5" dataDxfId="75"/>
    <tableColumn id="7" xr3:uid="{7C22DD7A-F964-4954-9C16-5B2ECE775CE7}" name="Student 6" dataDxfId="74"/>
    <tableColumn id="8" xr3:uid="{8070A8E1-BEEB-4CAC-A5CE-A9A3E9FEB2C5}" name="Student 7" dataDxfId="73"/>
    <tableColumn id="9" xr3:uid="{64D23157-4F42-4998-BBCC-BEFB7F600005}" name="Student 8" dataDxfId="72"/>
    <tableColumn id="10" xr3:uid="{CB81F528-E944-4C94-AF54-94588ED87C1A}" name="Student 9" dataDxfId="71"/>
    <tableColumn id="11" xr3:uid="{213B7490-CEE9-4BB4-A0AA-E29888E5DB06}" name="Student 10" dataDxfId="70"/>
    <tableColumn id="12" xr3:uid="{EFCA6A14-156F-44C4-A841-6BECF597897F}" name="Student 11" dataDxfId="69"/>
    <tableColumn id="13" xr3:uid="{125DF79A-B20A-4C9D-A8DB-D41C3BDC0537}" name="Student 12" dataDxfId="68"/>
    <tableColumn id="14" xr3:uid="{4B248A45-EFBC-4080-9D63-6956D36168C6}" name="Student 13" dataDxfId="67"/>
    <tableColumn id="15" xr3:uid="{AAEA9DD2-3484-478B-8BEE-F2699B4A89B8}" name="Student 14" dataDxfId="66"/>
    <tableColumn id="16" xr3:uid="{198F2DFA-B752-44EA-84EE-A1E1113DC44F}" name="Student 15" dataDxfId="65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EFDA4C-71B4-47D0-B71B-7CFD354BE1EB}" name="Table7" displayName="Table7" ref="A7:P9" totalsRowShown="0" headerRowDxfId="42" dataDxfId="43" headerRowBorderDxfId="61" tableBorderDxfId="62" totalsRowBorderDxfId="60">
  <autoFilter ref="A7:P9" xr:uid="{D2EFDA4C-71B4-47D0-B71B-7CFD354BE1EB}"/>
  <tableColumns count="16">
    <tableColumn id="1" xr3:uid="{8FCDD0CF-BA76-435C-AFC4-90BB4AAF89F9}" name="Attribute" dataDxfId="59"/>
    <tableColumn id="2" xr3:uid="{BCC93682-9180-4892-8453-D54DCF2F5F81}" name="Department 1" dataDxfId="58"/>
    <tableColumn id="3" xr3:uid="{FB8649A9-9232-4659-8F1D-E06E7D17ABBA}" name="Department 2" dataDxfId="57"/>
    <tableColumn id="4" xr3:uid="{72ED57EC-C008-4CCE-B02C-0142EDF0B315}" name="Department 3" dataDxfId="56"/>
    <tableColumn id="5" xr3:uid="{013B0203-2FD1-420B-8337-23C620B2EFC3}" name="Department 4" dataDxfId="55"/>
    <tableColumn id="6" xr3:uid="{2E8B1C36-68EC-4AEA-8C35-D61EC3BCEE43}" name="Department 5" dataDxfId="54"/>
    <tableColumn id="7" xr3:uid="{45998FD6-35C6-4228-8A9F-3E0B1DC98D38}" name="Department 6" dataDxfId="53"/>
    <tableColumn id="8" xr3:uid="{EAAFAEB0-97AD-4EA6-94FB-562CE9FD8CBB}" name="Department 7" dataDxfId="52"/>
    <tableColumn id="9" xr3:uid="{733BCFBB-E44C-4462-830D-AB181990185F}" name="Department 8" dataDxfId="51"/>
    <tableColumn id="10" xr3:uid="{45DC5496-9ABD-4FE3-8135-29A1BD01DE2C}" name="Department 9" dataDxfId="50"/>
    <tableColumn id="11" xr3:uid="{215863CB-FC18-46E0-9A33-F12F85D74C61}" name="Department 10" dataDxfId="49"/>
    <tableColumn id="12" xr3:uid="{E066F101-FC4C-4F38-924C-73B73ECF94BC}" name="Department 11" dataDxfId="48"/>
    <tableColumn id="13" xr3:uid="{AA09071A-4F6A-444C-B7A2-8DF173274195}" name="Department 12" dataDxfId="47"/>
    <tableColumn id="14" xr3:uid="{FAD326F8-4047-4106-BC4E-8DFE17FB617A}" name="Department 13" dataDxfId="46"/>
    <tableColumn id="15" xr3:uid="{1154F306-D8E0-46C3-A6F5-E1B542B12D28}" name="Department 14" dataDxfId="45"/>
    <tableColumn id="16" xr3:uid="{0B20428D-1A2F-4577-A34F-5FB095BEE985}" name="Department 15" dataDxfId="44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88F4C7-096B-4509-BF8E-F10BCA0CE2CA}" name="Table8" displayName="Table8" ref="A12:P15" totalsRowShown="0" headerRowDxfId="21" dataDxfId="22" headerRowBorderDxfId="40" tableBorderDxfId="41" totalsRowBorderDxfId="39">
  <autoFilter ref="A12:P15" xr:uid="{5688F4C7-096B-4509-BF8E-F10BCA0CE2CA}"/>
  <tableColumns count="16">
    <tableColumn id="1" xr3:uid="{9CE848A5-A87B-4D28-AEB2-C67C548D7378}" name="Attribute" dataDxfId="38"/>
    <tableColumn id="2" xr3:uid="{C6962494-A0FB-40A4-9430-C0EF94131C77}" name="Entry 1" dataDxfId="37"/>
    <tableColumn id="3" xr3:uid="{EFB51513-674A-4383-B7AB-D2BAFA3E4257}" name="Entry 2" dataDxfId="36"/>
    <tableColumn id="4" xr3:uid="{A47E193C-B00B-4091-BDF2-3BC9A8017EE2}" name="Entry 3" dataDxfId="35"/>
    <tableColumn id="5" xr3:uid="{15070190-83B9-4806-91AE-0D30FCB1B7C7}" name="Entry 4" dataDxfId="34"/>
    <tableColumn id="6" xr3:uid="{5A4A70C0-C96C-4EC8-BD96-2B0CB225742F}" name="Entry 5" dataDxfId="33"/>
    <tableColumn id="7" xr3:uid="{7741BCE9-AD78-4986-A151-765EE91B732F}" name="Entry 6" dataDxfId="32"/>
    <tableColumn id="8" xr3:uid="{9103A445-69C3-42CF-96B4-8D36DA0A1E48}" name="Entry 7" dataDxfId="31"/>
    <tableColumn id="9" xr3:uid="{4B60B9B6-C5CF-4E48-8D6E-AA14C4829224}" name="Entry 8" dataDxfId="30"/>
    <tableColumn id="10" xr3:uid="{DC396CAE-ECE8-417E-98B9-66703689644A}" name="Entry 9" dataDxfId="29"/>
    <tableColumn id="11" xr3:uid="{4CBED12F-7F27-44D5-BB91-DF3E3C0C59BE}" name="Entry 10" dataDxfId="28"/>
    <tableColumn id="12" xr3:uid="{49CE4162-4DF0-432D-A910-B93CA679F130}" name="Entry 11" dataDxfId="27"/>
    <tableColumn id="13" xr3:uid="{8A729D12-2638-426D-9736-B7EF0DE5EB78}" name="Entry 12" dataDxfId="26"/>
    <tableColumn id="14" xr3:uid="{E1D44CE8-152F-49DD-895A-2BF51C3A03A1}" name="Entry 13" dataDxfId="25"/>
    <tableColumn id="15" xr3:uid="{982684CA-5445-4794-BA9C-FED3CBB37AD0}" name="Entry 14" dataDxfId="24"/>
    <tableColumn id="16" xr3:uid="{EEED76BC-A1B4-4C1E-BC7B-D6AF2359057E}" name="Entry 15" dataDxfId="23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E2F7659-DB25-415B-81D0-E06295A97313}" name="Table9" displayName="Table9" ref="A18:P21" totalsRowShown="0" headerRowDxfId="0" dataDxfId="1" headerRowBorderDxfId="19" tableBorderDxfId="20" totalsRowBorderDxfId="18">
  <autoFilter ref="A18:P21" xr:uid="{3E2F7659-DB25-415B-81D0-E06295A97313}"/>
  <tableColumns count="16">
    <tableColumn id="1" xr3:uid="{1821D98F-AF1B-41EB-A276-2086CB415A8E}" name="Attribute" dataDxfId="17"/>
    <tableColumn id="2" xr3:uid="{0CB681B8-90A5-45D2-BE94-A6BBDD4C1F5C}" name="Course 1" dataDxfId="16"/>
    <tableColumn id="3" xr3:uid="{4E16E82E-555A-4E12-9395-8FCFF1ACCCC8}" name="Course 2" dataDxfId="15"/>
    <tableColumn id="4" xr3:uid="{E2B3DF47-5582-4DD2-9BD7-E7F0C82C514D}" name="Course 3" dataDxfId="14"/>
    <tableColumn id="5" xr3:uid="{39039E58-76DC-4396-957E-B66178CB2145}" name="Course 4" dataDxfId="13"/>
    <tableColumn id="6" xr3:uid="{F78EBB39-51F3-4AC9-AC4D-1A15D5D98BF5}" name="Course 5" dataDxfId="12"/>
    <tableColumn id="7" xr3:uid="{9479FEA7-C3B6-47B2-A2DD-5381FAF2722E}" name="Course 6" dataDxfId="11"/>
    <tableColumn id="8" xr3:uid="{FBD1909E-D9BA-476D-9909-E3EFC3926B79}" name="Course 7" dataDxfId="10"/>
    <tableColumn id="9" xr3:uid="{A8186D9C-C484-492B-A389-312A9256E138}" name="Course 8" dataDxfId="9"/>
    <tableColumn id="10" xr3:uid="{32C9FBCE-39D8-4FD9-8B0A-88907FEC3366}" name="Course 9" dataDxfId="8"/>
    <tableColumn id="11" xr3:uid="{39924642-9A1E-496C-BFE3-1D9DC96D2A71}" name="Course 10" dataDxfId="7"/>
    <tableColumn id="12" xr3:uid="{2BCF0AC4-CCB4-488D-BA96-8ADAF3CD589D}" name="Course 11" dataDxfId="6"/>
    <tableColumn id="13" xr3:uid="{3F0D27EA-8898-4CB9-BC3A-D7A73F747C06}" name="Course 12" dataDxfId="5"/>
    <tableColumn id="14" xr3:uid="{8473D9E1-E65C-4539-ABC1-FAB693AD011D}" name="Course 13" dataDxfId="4"/>
    <tableColumn id="15" xr3:uid="{2B2B1E56-4DE3-4D97-942F-CBE4478FB409}" name="Course 14" dataDxfId="3"/>
    <tableColumn id="16" xr3:uid="{68DFF34D-9348-459B-BB76-232C7166CBE8}" name="Course 15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BE3D-82F9-45D9-A21F-259385CEDB52}">
  <dimension ref="A1:Z17"/>
  <sheetViews>
    <sheetView tabSelected="1" workbookViewId="0">
      <selection activeCell="F19" sqref="F19"/>
    </sheetView>
  </sheetViews>
  <sheetFormatPr defaultRowHeight="14.5" x14ac:dyDescent="0.35"/>
  <cols>
    <col min="2" max="2" width="14.6328125" customWidth="1"/>
    <col min="3" max="3" width="14.26953125" customWidth="1"/>
    <col min="5" max="5" width="14.6328125" customWidth="1"/>
    <col min="6" max="6" width="18.7265625" customWidth="1"/>
    <col min="8" max="8" width="16.1796875" bestFit="1" customWidth="1"/>
    <col min="9" max="9" width="20.453125" bestFit="1" customWidth="1"/>
    <col min="10" max="10" width="20.81640625" bestFit="1" customWidth="1"/>
    <col min="12" max="12" width="13.81640625" customWidth="1"/>
    <col min="14" max="14" width="25.6328125" customWidth="1"/>
    <col min="16" max="16" width="14.1796875" bestFit="1" customWidth="1"/>
    <col min="17" max="17" width="23.90625" bestFit="1" customWidth="1"/>
    <col min="19" max="19" width="14.1796875" bestFit="1" customWidth="1"/>
    <col min="20" max="20" width="16.81640625" bestFit="1" customWidth="1"/>
    <col min="22" max="22" width="12.6328125" bestFit="1" customWidth="1"/>
    <col min="23" max="23" width="20.81640625" bestFit="1" customWidth="1"/>
    <col min="26" max="26" width="15.81640625" bestFit="1" customWidth="1"/>
  </cols>
  <sheetData>
    <row r="1" spans="1:26" x14ac:dyDescent="0.35">
      <c r="A1" t="s">
        <v>0</v>
      </c>
      <c r="B1" t="s">
        <v>1</v>
      </c>
      <c r="C1" t="s">
        <v>2</v>
      </c>
      <c r="E1" t="s">
        <v>1</v>
      </c>
      <c r="F1" t="s">
        <v>3</v>
      </c>
      <c r="H1" t="s">
        <v>4</v>
      </c>
      <c r="I1" t="s">
        <v>5</v>
      </c>
      <c r="J1" t="s">
        <v>6</v>
      </c>
      <c r="L1" t="s">
        <v>6</v>
      </c>
      <c r="M1" t="s">
        <v>7</v>
      </c>
      <c r="N1" t="s">
        <v>8</v>
      </c>
      <c r="P1" s="2" t="s">
        <v>9</v>
      </c>
      <c r="Q1" s="2"/>
      <c r="S1" s="2" t="s">
        <v>10</v>
      </c>
      <c r="T1" s="2"/>
      <c r="V1" s="2" t="s">
        <v>10</v>
      </c>
      <c r="W1" s="2"/>
      <c r="Z1" s="7"/>
    </row>
    <row r="2" spans="1:26" ht="15" thickBot="1" x14ac:dyDescent="0.4">
      <c r="A2" t="s">
        <v>11</v>
      </c>
      <c r="B2">
        <v>101</v>
      </c>
      <c r="C2" t="s">
        <v>12</v>
      </c>
      <c r="E2">
        <v>101</v>
      </c>
      <c r="F2" t="s">
        <v>13</v>
      </c>
      <c r="H2" t="s">
        <v>13</v>
      </c>
      <c r="I2" t="s">
        <v>14</v>
      </c>
      <c r="J2" t="s">
        <v>15</v>
      </c>
      <c r="L2" t="s">
        <v>15</v>
      </c>
      <c r="M2">
        <v>4</v>
      </c>
      <c r="N2">
        <v>6</v>
      </c>
      <c r="P2" s="1" t="s">
        <v>0</v>
      </c>
      <c r="Q2" s="1" t="s">
        <v>8</v>
      </c>
      <c r="S2" s="1" t="s">
        <v>0</v>
      </c>
      <c r="T2" s="3" t="s">
        <v>3</v>
      </c>
      <c r="V2" s="1" t="s">
        <v>1</v>
      </c>
      <c r="W2" s="1" t="s">
        <v>6</v>
      </c>
      <c r="Z2" s="6"/>
    </row>
    <row r="3" spans="1:26" x14ac:dyDescent="0.35">
      <c r="A3" t="s">
        <v>16</v>
      </c>
      <c r="B3">
        <v>103</v>
      </c>
      <c r="C3" t="s">
        <v>17</v>
      </c>
      <c r="E3">
        <v>102</v>
      </c>
      <c r="F3" t="s">
        <v>18</v>
      </c>
      <c r="H3" t="s">
        <v>18</v>
      </c>
      <c r="I3" t="s">
        <v>19</v>
      </c>
      <c r="J3" t="s">
        <v>20</v>
      </c>
      <c r="L3" t="s">
        <v>20</v>
      </c>
      <c r="M3">
        <v>3</v>
      </c>
      <c r="N3">
        <v>5</v>
      </c>
      <c r="P3" s="1" t="s">
        <v>11</v>
      </c>
      <c r="Q3" s="1">
        <f>VLOOKUP(VLOOKUP(VLOOKUP(VLOOKUP(P3,Table1[#All],2,0),Table3[#All],2,0),H1:J16,3,0),Table6[#All],3,0)</f>
        <v>6</v>
      </c>
      <c r="S3" s="1" t="s">
        <v>11</v>
      </c>
      <c r="T3" s="1" t="str">
        <f>VLOOKUP(VLOOKUP(S3,Table1[#All],2,0),Table3[#All],2,0)</f>
        <v>Dr. Anil Kumar</v>
      </c>
      <c r="V3" s="1">
        <v>101</v>
      </c>
      <c r="W3" s="1" t="str">
        <f>VLOOKUP(VLOOKUP(V3,Table3[#All],2,0),H1:J16,3,0)</f>
        <v>Data Structures</v>
      </c>
      <c r="Y3" s="6"/>
      <c r="Z3" s="6"/>
    </row>
    <row r="4" spans="1:26" x14ac:dyDescent="0.35">
      <c r="A4" t="s">
        <v>21</v>
      </c>
      <c r="B4">
        <v>102</v>
      </c>
      <c r="C4" t="s">
        <v>22</v>
      </c>
      <c r="E4">
        <v>103</v>
      </c>
      <c r="F4" t="s">
        <v>23</v>
      </c>
      <c r="H4" t="s">
        <v>23</v>
      </c>
      <c r="I4" t="s">
        <v>24</v>
      </c>
      <c r="J4" t="s">
        <v>25</v>
      </c>
      <c r="L4" t="s">
        <v>25</v>
      </c>
      <c r="M4">
        <v>4</v>
      </c>
      <c r="N4">
        <v>6</v>
      </c>
      <c r="P4" s="1" t="s">
        <v>16</v>
      </c>
      <c r="Q4" s="1">
        <f>VLOOKUP(VLOOKUP(VLOOKUP(VLOOKUP(P4,Table1[#All],2,0),Table3[#All],2,0),H2:J17,3,0),Table6[#All],3,0)</f>
        <v>6</v>
      </c>
      <c r="S4" s="1" t="s">
        <v>16</v>
      </c>
      <c r="T4" s="1" t="str">
        <f>VLOOKUP(VLOOKUP(S4,Table1[#All],2,0),Table3[#All],2,0)</f>
        <v>Dr. Mahesh Singh</v>
      </c>
      <c r="V4" s="1">
        <v>102</v>
      </c>
      <c r="W4" s="1" t="str">
        <f>VLOOKUP(VLOOKUP(V4,Table3[#All],2,0),H2:J17,3,0)</f>
        <v>Circuit Design</v>
      </c>
      <c r="Y4" s="6"/>
      <c r="Z4" s="6"/>
    </row>
    <row r="5" spans="1:26" x14ac:dyDescent="0.35">
      <c r="A5" t="s">
        <v>26</v>
      </c>
      <c r="B5">
        <v>104</v>
      </c>
      <c r="C5" t="s">
        <v>27</v>
      </c>
      <c r="E5">
        <v>104</v>
      </c>
      <c r="F5" t="s">
        <v>28</v>
      </c>
      <c r="H5" t="s">
        <v>28</v>
      </c>
      <c r="I5" t="s">
        <v>29</v>
      </c>
      <c r="J5" t="s">
        <v>30</v>
      </c>
      <c r="L5" t="s">
        <v>30</v>
      </c>
      <c r="M5">
        <v>3</v>
      </c>
      <c r="N5">
        <v>5</v>
      </c>
      <c r="P5" s="1" t="s">
        <v>21</v>
      </c>
      <c r="Q5" s="1">
        <f>VLOOKUP(VLOOKUP(VLOOKUP(VLOOKUP(P5,Table1[#All],2,0),Table3[#All],2,0),H3:J18,3,0),Table6[#All],3,0)</f>
        <v>5</v>
      </c>
      <c r="S5" s="1" t="s">
        <v>21</v>
      </c>
      <c r="T5" s="1" t="str">
        <f>VLOOKUP(VLOOKUP(S5,Table1[#All],2,0),Table3[#All],2,0)</f>
        <v>Prof. Radha Menon</v>
      </c>
      <c r="V5" s="1">
        <v>103</v>
      </c>
      <c r="W5" s="1" t="str">
        <f>VLOOKUP(VLOOKUP(V5,Table3[#All],2,0),H3:J18,3,0)</f>
        <v>Thermodynamics</v>
      </c>
      <c r="Y5" s="6"/>
      <c r="Z5" s="6"/>
    </row>
    <row r="6" spans="1:26" x14ac:dyDescent="0.35">
      <c r="A6" t="s">
        <v>31</v>
      </c>
      <c r="B6">
        <v>101</v>
      </c>
      <c r="C6" t="s">
        <v>12</v>
      </c>
      <c r="E6">
        <v>105</v>
      </c>
      <c r="F6" t="s">
        <v>32</v>
      </c>
      <c r="H6" t="s">
        <v>32</v>
      </c>
      <c r="I6" t="s">
        <v>33</v>
      </c>
      <c r="J6" t="s">
        <v>34</v>
      </c>
      <c r="L6" t="s">
        <v>34</v>
      </c>
      <c r="M6">
        <v>4</v>
      </c>
      <c r="N6">
        <v>6</v>
      </c>
      <c r="P6" s="1" t="s">
        <v>26</v>
      </c>
      <c r="Q6" s="1">
        <f>VLOOKUP(VLOOKUP(VLOOKUP(VLOOKUP(P6,Table1[#All],2,0),Table3[#All],2,0),H4:J19,3,0),Table6[#All],3,0)</f>
        <v>5</v>
      </c>
      <c r="S6" s="1" t="s">
        <v>26</v>
      </c>
      <c r="T6" s="1" t="str">
        <f>VLOOKUP(VLOOKUP(S6,Table1[#All],2,0),Table3[#All],2,0)</f>
        <v>Prof. Sneha Joshi</v>
      </c>
      <c r="V6" s="1">
        <v>104</v>
      </c>
      <c r="W6" s="1" t="str">
        <f>VLOOKUP(VLOOKUP(V6,Table3[#All],2,0),H4:J19,3,0)</f>
        <v>Structural Analysis</v>
      </c>
      <c r="Y6" s="6"/>
      <c r="Z6" s="6"/>
    </row>
    <row r="7" spans="1:26" x14ac:dyDescent="0.35">
      <c r="A7" t="s">
        <v>35</v>
      </c>
      <c r="B7">
        <v>102</v>
      </c>
      <c r="C7" t="s">
        <v>22</v>
      </c>
      <c r="E7">
        <v>106</v>
      </c>
      <c r="F7" t="s">
        <v>36</v>
      </c>
      <c r="H7" t="s">
        <v>36</v>
      </c>
      <c r="I7" t="s">
        <v>37</v>
      </c>
      <c r="J7" t="s">
        <v>38</v>
      </c>
      <c r="L7" t="s">
        <v>38</v>
      </c>
      <c r="M7">
        <v>3</v>
      </c>
      <c r="N7">
        <v>5</v>
      </c>
      <c r="P7" s="1" t="s">
        <v>31</v>
      </c>
      <c r="Q7" s="1">
        <f>VLOOKUP(VLOOKUP(VLOOKUP(VLOOKUP(P7,Table1[#All],2,0),Table3[#All],2,0),H1:J16,3,0),Table6[#All],3,0)</f>
        <v>6</v>
      </c>
      <c r="S7" s="1" t="s">
        <v>31</v>
      </c>
      <c r="T7" s="1" t="str">
        <f>VLOOKUP(VLOOKUP(S7,Table1[#All],2,0),Table3[#All],2,0)</f>
        <v>Dr. Anil Kumar</v>
      </c>
      <c r="V7" s="1">
        <v>105</v>
      </c>
      <c r="W7" s="1" t="str">
        <f>VLOOKUP(VLOOKUP(V7,Table3[#All],2,0),H5:J20,3,0)</f>
        <v>Power Systems</v>
      </c>
      <c r="Y7" s="6"/>
      <c r="Z7" s="6"/>
    </row>
    <row r="8" spans="1:26" x14ac:dyDescent="0.35">
      <c r="A8" t="s">
        <v>39</v>
      </c>
      <c r="B8">
        <v>103</v>
      </c>
      <c r="C8" t="s">
        <v>17</v>
      </c>
      <c r="E8">
        <v>107</v>
      </c>
      <c r="F8" t="s">
        <v>40</v>
      </c>
      <c r="H8" t="s">
        <v>40</v>
      </c>
      <c r="I8" t="s">
        <v>41</v>
      </c>
      <c r="J8" t="s">
        <v>42</v>
      </c>
      <c r="L8" t="s">
        <v>42</v>
      </c>
      <c r="M8">
        <v>4</v>
      </c>
      <c r="N8">
        <v>6</v>
      </c>
      <c r="P8" s="1" t="s">
        <v>35</v>
      </c>
      <c r="Q8" s="1">
        <f>VLOOKUP(VLOOKUP(VLOOKUP(VLOOKUP(P8,Table1[#All],2,0),Table3[#All],2,0),H2:J17,3,0),Table6[#All],3,0)</f>
        <v>5</v>
      </c>
      <c r="S8" s="1" t="s">
        <v>35</v>
      </c>
      <c r="T8" s="1" t="str">
        <f>VLOOKUP(VLOOKUP(S8,Table1[#All],2,0),Table3[#All],2,0)</f>
        <v>Prof. Radha Menon</v>
      </c>
      <c r="V8" s="1">
        <v>106</v>
      </c>
      <c r="W8" s="1" t="str">
        <f>VLOOKUP(VLOOKUP(V8,Table3[#All],2,0),H6:J21,3,0)</f>
        <v>Organic Chemistry</v>
      </c>
      <c r="Y8" s="6"/>
      <c r="Z8" s="6"/>
    </row>
    <row r="9" spans="1:26" x14ac:dyDescent="0.35">
      <c r="A9" t="s">
        <v>43</v>
      </c>
      <c r="B9">
        <v>104</v>
      </c>
      <c r="C9" t="s">
        <v>27</v>
      </c>
      <c r="E9">
        <v>108</v>
      </c>
      <c r="F9" t="s">
        <v>44</v>
      </c>
      <c r="H9" t="s">
        <v>44</v>
      </c>
      <c r="I9" t="s">
        <v>45</v>
      </c>
      <c r="J9" t="s">
        <v>46</v>
      </c>
      <c r="L9" t="s">
        <v>46</v>
      </c>
      <c r="M9">
        <v>3</v>
      </c>
      <c r="N9">
        <v>5</v>
      </c>
      <c r="P9" s="1" t="s">
        <v>39</v>
      </c>
      <c r="Q9" s="1">
        <f>VLOOKUP(VLOOKUP(VLOOKUP(VLOOKUP(P9,Table1[#All],2,0),Table3[#All],2,0),H3:J18,3,0),Table6[#All],3,0)</f>
        <v>6</v>
      </c>
      <c r="S9" s="1" t="s">
        <v>39</v>
      </c>
      <c r="T9" s="1" t="str">
        <f>VLOOKUP(VLOOKUP(S9,Table1[#All],2,0),Table3[#All],2,0)</f>
        <v>Dr. Mahesh Singh</v>
      </c>
      <c r="V9" s="1">
        <v>107</v>
      </c>
      <c r="W9" s="1" t="str">
        <f>VLOOKUP(VLOOKUP(V9,Table3[#All],2,0),H7:J22,3,0)</f>
        <v>Quantum Mechanics</v>
      </c>
      <c r="Y9" s="6"/>
      <c r="Z9" s="6"/>
    </row>
    <row r="10" spans="1:26" x14ac:dyDescent="0.35">
      <c r="A10" t="s">
        <v>47</v>
      </c>
      <c r="B10">
        <v>101</v>
      </c>
      <c r="C10" t="s">
        <v>12</v>
      </c>
      <c r="E10">
        <v>109</v>
      </c>
      <c r="F10" t="s">
        <v>48</v>
      </c>
      <c r="H10" t="s">
        <v>48</v>
      </c>
      <c r="I10" t="s">
        <v>49</v>
      </c>
      <c r="J10" t="s">
        <v>50</v>
      </c>
      <c r="L10" t="s">
        <v>50</v>
      </c>
      <c r="M10">
        <v>4</v>
      </c>
      <c r="N10">
        <v>6</v>
      </c>
      <c r="P10" s="1" t="s">
        <v>43</v>
      </c>
      <c r="Q10" s="1">
        <f>VLOOKUP(VLOOKUP(VLOOKUP(VLOOKUP(P10,Table1[#All],2,0),Table3[#All],2,0),H4:J19,3,0),Table6[#All],3,0)</f>
        <v>5</v>
      </c>
      <c r="S10" s="1" t="s">
        <v>43</v>
      </c>
      <c r="T10" s="1" t="str">
        <f>VLOOKUP(VLOOKUP(S10,Table1[#All],2,0),Table3[#All],2,0)</f>
        <v>Prof. Sneha Joshi</v>
      </c>
      <c r="V10" s="1">
        <v>108</v>
      </c>
      <c r="W10" s="1" t="str">
        <f>VLOOKUP(VLOOKUP(V10,Table3[#All],2,0),H8:J23,3,0)</f>
        <v>Applied Mathematics</v>
      </c>
      <c r="Y10" s="6"/>
      <c r="Z10" s="6"/>
    </row>
    <row r="11" spans="1:26" x14ac:dyDescent="0.35">
      <c r="A11" t="s">
        <v>51</v>
      </c>
      <c r="B11">
        <v>102</v>
      </c>
      <c r="C11" t="s">
        <v>22</v>
      </c>
      <c r="E11">
        <v>110</v>
      </c>
      <c r="F11" t="s">
        <v>52</v>
      </c>
      <c r="H11" t="s">
        <v>52</v>
      </c>
      <c r="I11" t="s">
        <v>53</v>
      </c>
      <c r="J11" t="s">
        <v>54</v>
      </c>
      <c r="L11" t="s">
        <v>54</v>
      </c>
      <c r="M11">
        <v>3</v>
      </c>
      <c r="N11">
        <v>5</v>
      </c>
      <c r="P11" s="4" t="s">
        <v>47</v>
      </c>
      <c r="Q11" s="1">
        <f>VLOOKUP(VLOOKUP(VLOOKUP(VLOOKUP(P11,Table1[#All],2,0),Table3[#All],2,0),H1:J16,3,0),Table6[#All],3,0)</f>
        <v>6</v>
      </c>
      <c r="S11" s="1" t="s">
        <v>47</v>
      </c>
      <c r="T11" s="1" t="str">
        <f>VLOOKUP(VLOOKUP(S11,Table1[#All],2,0),Table3[#All],2,0)</f>
        <v>Dr. Anil Kumar</v>
      </c>
      <c r="V11" s="1">
        <v>109</v>
      </c>
      <c r="W11" s="1" t="str">
        <f>VLOOKUP(VLOOKUP(V11,Table3[#All],2,0),H9:J24,3,0)</f>
        <v>Microbiology</v>
      </c>
      <c r="Y11" s="6"/>
      <c r="Z11" s="6"/>
    </row>
    <row r="12" spans="1:26" x14ac:dyDescent="0.35">
      <c r="A12" t="s">
        <v>55</v>
      </c>
      <c r="B12">
        <v>103</v>
      </c>
      <c r="C12" t="s">
        <v>17</v>
      </c>
      <c r="E12">
        <v>111</v>
      </c>
      <c r="F12" t="s">
        <v>56</v>
      </c>
      <c r="H12" t="s">
        <v>56</v>
      </c>
      <c r="I12" t="s">
        <v>57</v>
      </c>
      <c r="J12" t="s">
        <v>58</v>
      </c>
      <c r="L12" t="s">
        <v>58</v>
      </c>
      <c r="M12">
        <v>4</v>
      </c>
      <c r="N12">
        <v>6</v>
      </c>
      <c r="P12" s="5" t="s">
        <v>51</v>
      </c>
      <c r="Q12" s="1">
        <f>VLOOKUP(VLOOKUP(VLOOKUP(VLOOKUP(P12,Table1[#All],2,0),Table3[#All],2,0),H2:J17,3,0),Table6[#All],3,0)</f>
        <v>5</v>
      </c>
      <c r="S12" s="1" t="s">
        <v>51</v>
      </c>
      <c r="T12" s="1" t="str">
        <f>VLOOKUP(VLOOKUP(S12,Table1[#All],2,0),Table3[#All],2,0)</f>
        <v>Prof. Radha Menon</v>
      </c>
      <c r="V12" s="1">
        <v>110</v>
      </c>
      <c r="W12" s="1" t="str">
        <f>VLOOKUP(VLOOKUP(V12,Table3[#All],2,0),H10:J25,3,0)</f>
        <v>Marketing</v>
      </c>
      <c r="Y12" s="6"/>
      <c r="Z12" s="6"/>
    </row>
    <row r="13" spans="1:26" x14ac:dyDescent="0.35">
      <c r="A13" t="s">
        <v>59</v>
      </c>
      <c r="B13">
        <v>104</v>
      </c>
      <c r="C13" t="s">
        <v>27</v>
      </c>
      <c r="E13">
        <v>112</v>
      </c>
      <c r="F13" t="s">
        <v>60</v>
      </c>
      <c r="H13" t="s">
        <v>60</v>
      </c>
      <c r="I13" t="s">
        <v>61</v>
      </c>
      <c r="J13" t="s">
        <v>62</v>
      </c>
      <c r="L13" t="s">
        <v>62</v>
      </c>
      <c r="M13">
        <v>3</v>
      </c>
      <c r="N13">
        <v>5</v>
      </c>
      <c r="P13" s="4" t="s">
        <v>55</v>
      </c>
      <c r="Q13" s="1">
        <f>VLOOKUP(VLOOKUP(VLOOKUP(VLOOKUP(P13,Table1[#All],2,0),Table3[#All],2,0),H3:J18,3,0),Table6[#All],3,0)</f>
        <v>6</v>
      </c>
      <c r="S13" s="1" t="s">
        <v>55</v>
      </c>
      <c r="T13" s="1" t="str">
        <f>VLOOKUP(VLOOKUP(S13,Table1[#All],2,0),Table3[#All],2,0)</f>
        <v>Dr. Mahesh Singh</v>
      </c>
      <c r="V13" s="1">
        <v>111</v>
      </c>
      <c r="W13" s="1" t="str">
        <f>VLOOKUP(VLOOKUP(V13,Table3[#All],2,0),H11:J26,3,0)</f>
        <v>Cognitive Psychology</v>
      </c>
      <c r="Y13" s="6"/>
      <c r="Z13" s="6"/>
    </row>
    <row r="14" spans="1:26" x14ac:dyDescent="0.35">
      <c r="A14" t="s">
        <v>63</v>
      </c>
      <c r="B14">
        <v>101</v>
      </c>
      <c r="C14" t="s">
        <v>12</v>
      </c>
      <c r="E14">
        <v>113</v>
      </c>
      <c r="F14" t="s">
        <v>64</v>
      </c>
      <c r="H14" t="s">
        <v>64</v>
      </c>
      <c r="I14" t="s">
        <v>65</v>
      </c>
      <c r="J14" t="s">
        <v>66</v>
      </c>
      <c r="L14" t="s">
        <v>66</v>
      </c>
      <c r="M14">
        <v>4</v>
      </c>
      <c r="N14">
        <v>6</v>
      </c>
      <c r="P14" s="5" t="s">
        <v>59</v>
      </c>
      <c r="Q14" s="1">
        <f>VLOOKUP(VLOOKUP(VLOOKUP(VLOOKUP(P14,Table1[#All],2,0),Table3[#All],2,0),H4:J19,3,0),Table6[#All],3,0)</f>
        <v>5</v>
      </c>
      <c r="S14" s="1" t="s">
        <v>59</v>
      </c>
      <c r="T14" s="1" t="str">
        <f>VLOOKUP(VLOOKUP(S14,Table1[#All],2,0),Table3[#All],2,0)</f>
        <v>Prof. Sneha Joshi</v>
      </c>
      <c r="V14" s="1">
        <v>112</v>
      </c>
      <c r="W14" s="1" t="str">
        <f>VLOOKUP(VLOOKUP(V14,Table3[#All],2,0),H12:J27,3,0)</f>
        <v>Macroeconomics</v>
      </c>
      <c r="Y14" s="6"/>
      <c r="Z14" s="6"/>
    </row>
    <row r="15" spans="1:26" x14ac:dyDescent="0.35">
      <c r="A15" t="s">
        <v>67</v>
      </c>
      <c r="B15">
        <v>102</v>
      </c>
      <c r="C15" t="s">
        <v>22</v>
      </c>
      <c r="E15">
        <v>114</v>
      </c>
      <c r="F15" t="s">
        <v>68</v>
      </c>
      <c r="H15" t="s">
        <v>68</v>
      </c>
      <c r="I15" t="s">
        <v>69</v>
      </c>
      <c r="J15" t="s">
        <v>70</v>
      </c>
      <c r="L15" t="s">
        <v>70</v>
      </c>
      <c r="M15">
        <v>3</v>
      </c>
      <c r="N15">
        <v>5</v>
      </c>
      <c r="P15" s="4" t="s">
        <v>63</v>
      </c>
      <c r="Q15" s="1">
        <f>VLOOKUP(VLOOKUP(VLOOKUP(VLOOKUP(P15,Table1[#All],2,0),Table3[#All],2,0),Table5[#All],3,0),Table6[#All],3,0)</f>
        <v>6</v>
      </c>
      <c r="S15" s="1" t="s">
        <v>63</v>
      </c>
      <c r="T15" s="1" t="str">
        <f>VLOOKUP(VLOOKUP(S15,Table1[#All],2,0),Table3[#All],2,0)</f>
        <v>Dr. Anil Kumar</v>
      </c>
      <c r="V15" s="1">
        <v>113</v>
      </c>
      <c r="W15" s="1" t="str">
        <f>VLOOKUP(VLOOKUP(V15,Table3[#All],2,0),H13:J28,3,0)</f>
        <v>Contemporary Literature</v>
      </c>
      <c r="Y15" s="6"/>
      <c r="Z15" s="6"/>
    </row>
    <row r="16" spans="1:26" x14ac:dyDescent="0.35">
      <c r="A16" t="s">
        <v>71</v>
      </c>
      <c r="B16">
        <v>103</v>
      </c>
      <c r="C16" t="s">
        <v>17</v>
      </c>
      <c r="E16">
        <v>115</v>
      </c>
      <c r="F16" t="s">
        <v>72</v>
      </c>
      <c r="H16" t="s">
        <v>72</v>
      </c>
      <c r="I16" t="s">
        <v>73</v>
      </c>
      <c r="J16" t="s">
        <v>74</v>
      </c>
      <c r="L16" t="s">
        <v>74</v>
      </c>
      <c r="M16">
        <v>4</v>
      </c>
      <c r="N16">
        <v>6</v>
      </c>
      <c r="P16" s="5" t="s">
        <v>67</v>
      </c>
      <c r="Q16" s="1">
        <f>VLOOKUP(VLOOKUP(VLOOKUP(VLOOKUP(P16,Table1[#All],2,0),Table3[#All],2,0),Table5[#All],3,0),Table6[#All],3,0)</f>
        <v>5</v>
      </c>
      <c r="S16" s="1" t="s">
        <v>67</v>
      </c>
      <c r="T16" s="1" t="str">
        <f>VLOOKUP(VLOOKUP(S16,Table1[#All],2,0),Table3[#All],2,0)</f>
        <v>Prof. Radha Menon</v>
      </c>
      <c r="V16" s="1">
        <v>114</v>
      </c>
      <c r="W16" s="1" t="str">
        <f>VLOOKUP(VLOOKUP(V16,Table3[#All],2,0),H14:J29,3,0)</f>
        <v>Ecology</v>
      </c>
      <c r="Y16" s="6"/>
      <c r="Z16" s="6"/>
    </row>
    <row r="17" spans="16:26" x14ac:dyDescent="0.35">
      <c r="P17" s="4" t="s">
        <v>71</v>
      </c>
      <c r="Q17" s="1">
        <f>VLOOKUP(VLOOKUP(VLOOKUP(VLOOKUP(P17,Table1[#All],2,0),Table3[#All],2,0),Table5[#All],3,0),Table6[#All],3,0)</f>
        <v>6</v>
      </c>
      <c r="S17" s="1" t="s">
        <v>71</v>
      </c>
      <c r="T17" s="1" t="str">
        <f>VLOOKUP(VLOOKUP(S17,Table1[#All],2,0),Table3[#All],2,0)</f>
        <v>Dr. Mahesh Singh</v>
      </c>
      <c r="V17" s="1">
        <v>115</v>
      </c>
      <c r="W17" s="1" t="str">
        <f>VLOOKUP(VLOOKUP(V17,Table3[#All],2,0),H15:J30,3,0)</f>
        <v>Urban Planning</v>
      </c>
      <c r="Y17" s="6"/>
      <c r="Z17" s="6"/>
    </row>
  </sheetData>
  <mergeCells count="3">
    <mergeCell ref="P1:Q1"/>
    <mergeCell ref="S1:T1"/>
    <mergeCell ref="V1:W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2900-C1C4-40A8-B2ED-08F960619AA6}">
  <dimension ref="A1:AG21"/>
  <sheetViews>
    <sheetView workbookViewId="0">
      <selection activeCell="U18" sqref="U18"/>
    </sheetView>
  </sheetViews>
  <sheetFormatPr defaultRowHeight="14.5" x14ac:dyDescent="0.35"/>
  <cols>
    <col min="1" max="1" width="10.7265625" customWidth="1"/>
    <col min="2" max="10" width="15.26953125" customWidth="1"/>
    <col min="11" max="16" width="16.36328125" customWidth="1"/>
    <col min="18" max="18" width="14.453125" customWidth="1"/>
    <col min="19" max="19" width="13.6328125" bestFit="1" customWidth="1"/>
    <col min="20" max="20" width="14.81640625" bestFit="1" customWidth="1"/>
    <col min="21" max="21" width="16" bestFit="1" customWidth="1"/>
    <col min="22" max="22" width="15.90625" bestFit="1" customWidth="1"/>
    <col min="23" max="23" width="13.6328125" bestFit="1" customWidth="1"/>
    <col min="24" max="24" width="16" bestFit="1" customWidth="1"/>
    <col min="25" max="25" width="14.81640625" bestFit="1" customWidth="1"/>
    <col min="26" max="26" width="15.90625" bestFit="1" customWidth="1"/>
    <col min="27" max="27" width="13.6328125" bestFit="1" customWidth="1"/>
    <col min="28" max="28" width="16" bestFit="1" customWidth="1"/>
    <col min="29" max="29" width="14.81640625" bestFit="1" customWidth="1"/>
    <col min="30" max="30" width="15.90625" bestFit="1" customWidth="1"/>
    <col min="31" max="31" width="13.6328125" bestFit="1" customWidth="1"/>
    <col min="32" max="32" width="16" bestFit="1" customWidth="1"/>
    <col min="33" max="33" width="14.81640625" bestFit="1" customWidth="1"/>
  </cols>
  <sheetData>
    <row r="1" spans="1:33" ht="21.5" thickBot="1" x14ac:dyDescent="0.55000000000000004">
      <c r="A1" s="11" t="s">
        <v>75</v>
      </c>
      <c r="B1" s="12" t="s">
        <v>76</v>
      </c>
      <c r="C1" s="12" t="s">
        <v>77</v>
      </c>
      <c r="D1" s="12" t="s">
        <v>78</v>
      </c>
      <c r="E1" s="12" t="s">
        <v>79</v>
      </c>
      <c r="F1" s="12" t="s">
        <v>80</v>
      </c>
      <c r="G1" s="12" t="s">
        <v>81</v>
      </c>
      <c r="H1" s="12" t="s">
        <v>82</v>
      </c>
      <c r="I1" s="12" t="s">
        <v>83</v>
      </c>
      <c r="J1" s="12" t="s">
        <v>84</v>
      </c>
      <c r="K1" s="12" t="s">
        <v>85</v>
      </c>
      <c r="L1" s="12" t="s">
        <v>86</v>
      </c>
      <c r="M1" s="12" t="s">
        <v>87</v>
      </c>
      <c r="N1" s="12" t="s">
        <v>88</v>
      </c>
      <c r="O1" s="12" t="s">
        <v>89</v>
      </c>
      <c r="P1" s="13" t="s">
        <v>90</v>
      </c>
      <c r="R1" s="21" t="s">
        <v>138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3"/>
    </row>
    <row r="2" spans="1:33" ht="25.5" thickBot="1" x14ac:dyDescent="0.4">
      <c r="A2" s="9" t="s">
        <v>0</v>
      </c>
      <c r="B2" s="8" t="s">
        <v>11</v>
      </c>
      <c r="C2" s="8" t="s">
        <v>16</v>
      </c>
      <c r="D2" s="8" t="s">
        <v>21</v>
      </c>
      <c r="E2" s="8" t="s">
        <v>26</v>
      </c>
      <c r="F2" s="8" t="s">
        <v>31</v>
      </c>
      <c r="G2" s="8" t="s">
        <v>35</v>
      </c>
      <c r="H2" s="8" t="s">
        <v>39</v>
      </c>
      <c r="I2" s="8" t="s">
        <v>43</v>
      </c>
      <c r="J2" s="8" t="s">
        <v>47</v>
      </c>
      <c r="K2" s="8" t="s">
        <v>51</v>
      </c>
      <c r="L2" s="8" t="s">
        <v>55</v>
      </c>
      <c r="M2" s="8" t="s">
        <v>59</v>
      </c>
      <c r="N2" s="8" t="s">
        <v>63</v>
      </c>
      <c r="O2" s="8" t="s">
        <v>67</v>
      </c>
      <c r="P2" s="10" t="s">
        <v>71</v>
      </c>
      <c r="R2" s="19" t="s">
        <v>0</v>
      </c>
      <c r="S2" s="20" t="s">
        <v>11</v>
      </c>
      <c r="T2" s="20" t="s">
        <v>16</v>
      </c>
      <c r="U2" s="20" t="s">
        <v>21</v>
      </c>
      <c r="V2" s="20" t="s">
        <v>26</v>
      </c>
      <c r="W2" s="20" t="s">
        <v>31</v>
      </c>
      <c r="X2" s="20" t="s">
        <v>35</v>
      </c>
      <c r="Y2" s="20" t="s">
        <v>39</v>
      </c>
      <c r="Z2" s="20" t="s">
        <v>43</v>
      </c>
      <c r="AA2" s="20" t="s">
        <v>47</v>
      </c>
      <c r="AB2" s="20" t="s">
        <v>51</v>
      </c>
      <c r="AC2" s="20" t="s">
        <v>55</v>
      </c>
      <c r="AD2" s="20" t="s">
        <v>59</v>
      </c>
      <c r="AE2" s="20" t="s">
        <v>63</v>
      </c>
      <c r="AF2" s="20" t="s">
        <v>67</v>
      </c>
      <c r="AG2" s="20" t="s">
        <v>71</v>
      </c>
    </row>
    <row r="3" spans="1:33" ht="28.5" thickBot="1" x14ac:dyDescent="0.4">
      <c r="A3" s="9" t="s">
        <v>1</v>
      </c>
      <c r="B3" s="8">
        <v>101</v>
      </c>
      <c r="C3" s="8">
        <v>103</v>
      </c>
      <c r="D3" s="8">
        <v>102</v>
      </c>
      <c r="E3" s="8">
        <v>104</v>
      </c>
      <c r="F3" s="8">
        <v>101</v>
      </c>
      <c r="G3" s="8">
        <v>102</v>
      </c>
      <c r="H3" s="8">
        <v>103</v>
      </c>
      <c r="I3" s="8">
        <v>104</v>
      </c>
      <c r="J3" s="8">
        <v>101</v>
      </c>
      <c r="K3" s="8">
        <v>102</v>
      </c>
      <c r="L3" s="8">
        <v>103</v>
      </c>
      <c r="M3" s="8">
        <v>104</v>
      </c>
      <c r="N3" s="8">
        <v>101</v>
      </c>
      <c r="O3" s="8">
        <v>102</v>
      </c>
      <c r="P3" s="10">
        <v>103</v>
      </c>
      <c r="R3" s="19" t="s">
        <v>137</v>
      </c>
      <c r="S3" s="1">
        <f>HLOOKUP(HLOOKUP(HLOOKUP(HLOOKUP(S2,Table4[],2,0),Table7[],2,0),Table8[],3,0),Table9[],3,0)</f>
        <v>6</v>
      </c>
      <c r="T3" s="1">
        <f>HLOOKUP(HLOOKUP(HLOOKUP(HLOOKUP(T2,Table4[],2,0),Table7[],2,0),Table8[],3,0),Table9[],3,0)</f>
        <v>6</v>
      </c>
      <c r="U3" s="1">
        <f>HLOOKUP(HLOOKUP(HLOOKUP(HLOOKUP(U2,Table4[],2,0),Table7[],2,0),Table8[],3,0),Table9[],3,0)</f>
        <v>5</v>
      </c>
      <c r="V3" s="1">
        <f>HLOOKUP(HLOOKUP(HLOOKUP(HLOOKUP(V2,Table4[],2,0),Table7[],2,0),Table8[],3,0),Table9[],3,0)</f>
        <v>5</v>
      </c>
      <c r="W3" s="1">
        <f>HLOOKUP(HLOOKUP(HLOOKUP(HLOOKUP(W2,Table4[],2,0),Table7[],2,0),Table8[],3,0),Table9[],3,0)</f>
        <v>6</v>
      </c>
      <c r="X3" s="1">
        <f>HLOOKUP(HLOOKUP(HLOOKUP(HLOOKUP(X2,Table4[],2,0),Table7[],2,0),Table8[],3,0),Table9[],3,0)</f>
        <v>5</v>
      </c>
      <c r="Y3" s="1">
        <f>HLOOKUP(HLOOKUP(HLOOKUP(HLOOKUP(Y2,Table4[],2,0),Table7[],2,0),Table8[],3,0),Table9[],3,0)</f>
        <v>6</v>
      </c>
      <c r="Z3" s="1">
        <f>HLOOKUP(HLOOKUP(HLOOKUP(HLOOKUP(Z2,Table4[],2,0),Table7[],2,0),Table8[],3,0),Table9[],3,0)</f>
        <v>5</v>
      </c>
      <c r="AA3" s="1">
        <f>HLOOKUP(HLOOKUP(HLOOKUP(HLOOKUP(AA2,Table4[],2,0),Table7[],2,0),Table8[],3,0),Table9[],3,0)</f>
        <v>6</v>
      </c>
      <c r="AB3" s="1">
        <f>HLOOKUP(HLOOKUP(HLOOKUP(HLOOKUP(AB2,Table4[],2,0),Table7[],2,0),Table8[],3,0),Table9[],3,0)</f>
        <v>5</v>
      </c>
      <c r="AC3" s="1">
        <f>HLOOKUP(HLOOKUP(HLOOKUP(HLOOKUP(AC2,Table4[],2,0),Table7[],2,0),Table8[],3,0),Table9[],3,0)</f>
        <v>6</v>
      </c>
      <c r="AD3" s="1">
        <f>HLOOKUP(HLOOKUP(HLOOKUP(HLOOKUP(AD2,Table4[],2,0),Table7[],2,0),Table8[],3,0),Table9[],3,0)</f>
        <v>5</v>
      </c>
      <c r="AE3" s="1">
        <f>HLOOKUP(HLOOKUP(HLOOKUP(HLOOKUP(AE2,Table4[],2,0),Table7[],2,0),Table8[],3,0),Table9[],3,0)</f>
        <v>6</v>
      </c>
      <c r="AF3" s="1">
        <f>HLOOKUP(HLOOKUP(HLOOKUP(HLOOKUP(AF2,Table4[],2,0),Table7[],2,0),Table8[],3,0),Table9[],3,0)</f>
        <v>5</v>
      </c>
      <c r="AG3" s="1">
        <f>HLOOKUP(HLOOKUP(HLOOKUP(HLOOKUP(AG2,Table4[],2,0),Table7[],2,0),Table8[],3,0),Table9[],3,0)</f>
        <v>6</v>
      </c>
    </row>
    <row r="4" spans="1:33" ht="28" x14ac:dyDescent="0.35">
      <c r="A4" s="14" t="s">
        <v>2</v>
      </c>
      <c r="B4" s="15" t="s">
        <v>12</v>
      </c>
      <c r="C4" s="15" t="s">
        <v>17</v>
      </c>
      <c r="D4" s="15" t="s">
        <v>22</v>
      </c>
      <c r="E4" s="15" t="s">
        <v>27</v>
      </c>
      <c r="F4" s="15" t="s">
        <v>12</v>
      </c>
      <c r="G4" s="15" t="s">
        <v>22</v>
      </c>
      <c r="H4" s="15" t="s">
        <v>17</v>
      </c>
      <c r="I4" s="15" t="s">
        <v>27</v>
      </c>
      <c r="J4" s="15" t="s">
        <v>12</v>
      </c>
      <c r="K4" s="15" t="s">
        <v>22</v>
      </c>
      <c r="L4" s="15" t="s">
        <v>17</v>
      </c>
      <c r="M4" s="15" t="s">
        <v>27</v>
      </c>
      <c r="N4" s="15" t="s">
        <v>12</v>
      </c>
      <c r="O4" s="15" t="s">
        <v>22</v>
      </c>
      <c r="P4" s="16" t="s">
        <v>17</v>
      </c>
    </row>
    <row r="5" spans="1:33" ht="21" x14ac:dyDescent="0.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R5" s="21" t="s">
        <v>138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3"/>
    </row>
    <row r="6" spans="1:33" ht="25" x14ac:dyDescent="0.35">
      <c r="R6" s="19" t="s">
        <v>0</v>
      </c>
      <c r="S6" s="20" t="s">
        <v>11</v>
      </c>
      <c r="T6" s="20" t="s">
        <v>16</v>
      </c>
      <c r="U6" s="20" t="s">
        <v>21</v>
      </c>
      <c r="V6" s="20" t="s">
        <v>26</v>
      </c>
      <c r="W6" s="20" t="s">
        <v>31</v>
      </c>
      <c r="X6" s="20" t="s">
        <v>35</v>
      </c>
      <c r="Y6" s="20" t="s">
        <v>39</v>
      </c>
      <c r="Z6" s="20" t="s">
        <v>43</v>
      </c>
      <c r="AA6" s="20" t="s">
        <v>47</v>
      </c>
      <c r="AB6" s="20" t="s">
        <v>51</v>
      </c>
      <c r="AC6" s="20" t="s">
        <v>55</v>
      </c>
      <c r="AD6" s="20" t="s">
        <v>59</v>
      </c>
      <c r="AE6" s="20" t="s">
        <v>63</v>
      </c>
      <c r="AF6" s="20" t="s">
        <v>67</v>
      </c>
      <c r="AG6" s="20" t="s">
        <v>71</v>
      </c>
    </row>
    <row r="7" spans="1:33" ht="28.5" thickBot="1" x14ac:dyDescent="0.4">
      <c r="A7" s="11" t="s">
        <v>75</v>
      </c>
      <c r="B7" s="12" t="s">
        <v>91</v>
      </c>
      <c r="C7" s="12" t="s">
        <v>92</v>
      </c>
      <c r="D7" s="12" t="s">
        <v>93</v>
      </c>
      <c r="E7" s="12" t="s">
        <v>94</v>
      </c>
      <c r="F7" s="12" t="s">
        <v>95</v>
      </c>
      <c r="G7" s="12" t="s">
        <v>96</v>
      </c>
      <c r="H7" s="12" t="s">
        <v>97</v>
      </c>
      <c r="I7" s="12" t="s">
        <v>98</v>
      </c>
      <c r="J7" s="12" t="s">
        <v>99</v>
      </c>
      <c r="K7" s="12" t="s">
        <v>100</v>
      </c>
      <c r="L7" s="12" t="s">
        <v>101</v>
      </c>
      <c r="M7" s="12" t="s">
        <v>102</v>
      </c>
      <c r="N7" s="12" t="s">
        <v>103</v>
      </c>
      <c r="O7" s="12" t="s">
        <v>104</v>
      </c>
      <c r="P7" s="13" t="s">
        <v>105</v>
      </c>
      <c r="R7" s="19" t="s">
        <v>106</v>
      </c>
      <c r="S7" s="1" t="str">
        <f>HLOOKUP(HLOOKUP(S6,Table4[],2,0),Table7[],2,0)</f>
        <v>Dr. Anil Kumar</v>
      </c>
      <c r="T7" s="1" t="str">
        <f>HLOOKUP(HLOOKUP(T6,Table4[],2,0),Table7[],2,0)</f>
        <v>Dr. Mahesh Singh</v>
      </c>
      <c r="U7" s="1" t="str">
        <f>HLOOKUP(HLOOKUP(U6,Table4[],2,0),Table7[],2,0)</f>
        <v>Prof. Radha Menon</v>
      </c>
      <c r="V7" s="1" t="str">
        <f>HLOOKUP(HLOOKUP(V6,Table4[],2,0),Table7[],2,0)</f>
        <v>Prof. Sneha Joshi</v>
      </c>
      <c r="W7" s="1" t="str">
        <f>HLOOKUP(HLOOKUP(W6,Table4[],2,0),Table7[],2,0)</f>
        <v>Dr. Anil Kumar</v>
      </c>
      <c r="X7" s="1" t="str">
        <f>HLOOKUP(HLOOKUP(X6,Table4[],2,0),Table7[],2,0)</f>
        <v>Prof. Radha Menon</v>
      </c>
      <c r="Y7" s="1" t="str">
        <f>HLOOKUP(HLOOKUP(Y6,Table4[],2,0),Table7[],2,0)</f>
        <v>Dr. Mahesh Singh</v>
      </c>
      <c r="Z7" s="1" t="str">
        <f>HLOOKUP(HLOOKUP(Z6,Table4[],2,0),Table7[],2,0)</f>
        <v>Prof. Sneha Joshi</v>
      </c>
      <c r="AA7" s="1" t="str">
        <f>HLOOKUP(HLOOKUP(AA6,Table4[],2,0),Table7[],2,0)</f>
        <v>Dr. Anil Kumar</v>
      </c>
      <c r="AB7" s="1" t="str">
        <f>HLOOKUP(HLOOKUP(AB6,Table4[],2,0),Table7[],2,0)</f>
        <v>Prof. Radha Menon</v>
      </c>
      <c r="AC7" s="1" t="str">
        <f>HLOOKUP(HLOOKUP(AC6,Table4[],2,0),Table7[],2,0)</f>
        <v>Dr. Mahesh Singh</v>
      </c>
      <c r="AD7" s="1" t="str">
        <f>HLOOKUP(HLOOKUP(AD6,Table4[],2,0),Table7[],2,0)</f>
        <v>Prof. Sneha Joshi</v>
      </c>
      <c r="AE7" s="1" t="str">
        <f>HLOOKUP(HLOOKUP(AE6,Table4[],2,0),Table7[],2,0)</f>
        <v>Dr. Anil Kumar</v>
      </c>
      <c r="AF7" s="1" t="str">
        <f>HLOOKUP(HLOOKUP(AF6,Table4[],2,0),Table7[],2,0)</f>
        <v>Prof. Radha Menon</v>
      </c>
      <c r="AG7" s="1" t="str">
        <f>HLOOKUP(HLOOKUP(AG6,Table4[],2,0),Table7[],2,0)</f>
        <v>Dr. Mahesh Singh</v>
      </c>
    </row>
    <row r="8" spans="1:33" ht="28.5" thickBot="1" x14ac:dyDescent="0.4">
      <c r="A8" s="9" t="s">
        <v>1</v>
      </c>
      <c r="B8" s="8">
        <v>101</v>
      </c>
      <c r="C8" s="8">
        <v>102</v>
      </c>
      <c r="D8" s="8">
        <v>103</v>
      </c>
      <c r="E8" s="8">
        <v>104</v>
      </c>
      <c r="F8" s="8">
        <v>105</v>
      </c>
      <c r="G8" s="8">
        <v>106</v>
      </c>
      <c r="H8" s="8">
        <v>107</v>
      </c>
      <c r="I8" s="8">
        <v>108</v>
      </c>
      <c r="J8" s="8">
        <v>109</v>
      </c>
      <c r="K8" s="8">
        <v>110</v>
      </c>
      <c r="L8" s="8">
        <v>111</v>
      </c>
      <c r="M8" s="8">
        <v>112</v>
      </c>
      <c r="N8" s="8">
        <v>113</v>
      </c>
      <c r="O8" s="8">
        <v>114</v>
      </c>
      <c r="P8" s="10">
        <v>115</v>
      </c>
    </row>
    <row r="9" spans="1:33" ht="23.5" customHeight="1" thickBot="1" x14ac:dyDescent="0.55000000000000004">
      <c r="A9" s="14" t="s">
        <v>106</v>
      </c>
      <c r="B9" s="15" t="s">
        <v>13</v>
      </c>
      <c r="C9" s="15" t="s">
        <v>18</v>
      </c>
      <c r="D9" s="15" t="s">
        <v>23</v>
      </c>
      <c r="E9" s="15" t="s">
        <v>28</v>
      </c>
      <c r="F9" s="15" t="s">
        <v>32</v>
      </c>
      <c r="G9" s="15" t="s">
        <v>36</v>
      </c>
      <c r="H9" s="15" t="s">
        <v>40</v>
      </c>
      <c r="I9" s="15" t="s">
        <v>44</v>
      </c>
      <c r="J9" s="15" t="s">
        <v>48</v>
      </c>
      <c r="K9" s="15" t="s">
        <v>52</v>
      </c>
      <c r="L9" s="15" t="s">
        <v>56</v>
      </c>
      <c r="M9" s="15" t="s">
        <v>60</v>
      </c>
      <c r="N9" s="15" t="s">
        <v>64</v>
      </c>
      <c r="O9" s="15" t="s">
        <v>68</v>
      </c>
      <c r="P9" s="16" t="s">
        <v>72</v>
      </c>
      <c r="R9" s="21" t="s">
        <v>138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3"/>
    </row>
    <row r="10" spans="1:33" ht="15" thickBot="1" x14ac:dyDescent="0.4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R10" s="18" t="s">
        <v>1</v>
      </c>
      <c r="S10" s="8">
        <v>101</v>
      </c>
      <c r="T10" s="8">
        <v>103</v>
      </c>
      <c r="U10" s="8">
        <v>102</v>
      </c>
      <c r="V10" s="8">
        <v>104</v>
      </c>
      <c r="W10" s="8">
        <v>101</v>
      </c>
      <c r="X10" s="8">
        <v>102</v>
      </c>
      <c r="Y10" s="8">
        <v>103</v>
      </c>
      <c r="Z10" s="8">
        <v>104</v>
      </c>
      <c r="AA10" s="8">
        <v>101</v>
      </c>
      <c r="AB10" s="8">
        <v>102</v>
      </c>
      <c r="AC10" s="8">
        <v>103</v>
      </c>
      <c r="AD10" s="8">
        <v>104</v>
      </c>
      <c r="AE10" s="8">
        <v>101</v>
      </c>
      <c r="AF10" s="8">
        <v>102</v>
      </c>
      <c r="AG10" s="8">
        <v>103</v>
      </c>
    </row>
    <row r="11" spans="1:33" ht="15" thickBot="1" x14ac:dyDescent="0.4">
      <c r="R11" s="18" t="s">
        <v>6</v>
      </c>
      <c r="S11" s="1" t="str">
        <f>HLOOKUP(HLOOKUP(S10,Table7[],2,0),Table8[],3,0)</f>
        <v>Data Structures</v>
      </c>
      <c r="T11" s="1" t="str">
        <f>HLOOKUP(HLOOKUP(T10,Table7[],2,0),Table8[],3,0)</f>
        <v>Thermodynamics</v>
      </c>
      <c r="U11" s="1" t="str">
        <f>HLOOKUP(HLOOKUP(U10,Table7[],2,0),Table8[],3,0)</f>
        <v>Circuit Design</v>
      </c>
      <c r="V11" s="1" t="str">
        <f>HLOOKUP(HLOOKUP(V10,Table7[],2,0),Table8[],3,0)</f>
        <v>Structural Analysis</v>
      </c>
      <c r="W11" s="1" t="str">
        <f>HLOOKUP(HLOOKUP(W10,Table7[],2,0),Table8[],3,0)</f>
        <v>Data Structures</v>
      </c>
      <c r="X11" s="1" t="str">
        <f>HLOOKUP(HLOOKUP(X10,Table7[],2,0),Table8[],3,0)</f>
        <v>Circuit Design</v>
      </c>
      <c r="Y11" s="1" t="str">
        <f>HLOOKUP(HLOOKUP(Y10,Table7[],2,0),Table8[],3,0)</f>
        <v>Thermodynamics</v>
      </c>
      <c r="Z11" s="1" t="str">
        <f>HLOOKUP(HLOOKUP(Z10,Table7[],2,0),Table8[],3,0)</f>
        <v>Structural Analysis</v>
      </c>
      <c r="AA11" s="1" t="str">
        <f>HLOOKUP(HLOOKUP(AA10,Table7[],2,0),Table8[],3,0)</f>
        <v>Data Structures</v>
      </c>
      <c r="AB11" s="1" t="str">
        <f>HLOOKUP(HLOOKUP(AB10,Table7[],2,0),Table8[],3,0)</f>
        <v>Circuit Design</v>
      </c>
      <c r="AC11" s="1" t="str">
        <f>HLOOKUP(HLOOKUP(AC10,Table7[],2,0),Table8[],3,0)</f>
        <v>Thermodynamics</v>
      </c>
      <c r="AD11" s="1" t="str">
        <f>HLOOKUP(HLOOKUP(AD10,Table7[],2,0),Table8[],3,0)</f>
        <v>Structural Analysis</v>
      </c>
      <c r="AE11" s="1" t="str">
        <f>HLOOKUP(HLOOKUP(AE10,Table7[],2,0),Table8[],3,0)</f>
        <v>Data Structures</v>
      </c>
      <c r="AF11" s="1" t="str">
        <f>HLOOKUP(HLOOKUP(AF10,Table7[],2,0),Table8[],3,0)</f>
        <v>Circuit Design</v>
      </c>
      <c r="AG11" s="1" t="str">
        <f>HLOOKUP(HLOOKUP(AG10,Table7[],2,0),Table8[],3,0)</f>
        <v>Thermodynamics</v>
      </c>
    </row>
    <row r="12" spans="1:33" ht="15" thickBot="1" x14ac:dyDescent="0.4">
      <c r="A12" s="11" t="s">
        <v>75</v>
      </c>
      <c r="B12" s="12" t="s">
        <v>107</v>
      </c>
      <c r="C12" s="12" t="s">
        <v>108</v>
      </c>
      <c r="D12" s="12" t="s">
        <v>109</v>
      </c>
      <c r="E12" s="12" t="s">
        <v>110</v>
      </c>
      <c r="F12" s="12" t="s">
        <v>111</v>
      </c>
      <c r="G12" s="12" t="s">
        <v>112</v>
      </c>
      <c r="H12" s="12" t="s">
        <v>113</v>
      </c>
      <c r="I12" s="12" t="s">
        <v>114</v>
      </c>
      <c r="J12" s="12" t="s">
        <v>115</v>
      </c>
      <c r="K12" s="12" t="s">
        <v>116</v>
      </c>
      <c r="L12" s="12" t="s">
        <v>117</v>
      </c>
      <c r="M12" s="12" t="s">
        <v>118</v>
      </c>
      <c r="N12" s="12" t="s">
        <v>119</v>
      </c>
      <c r="O12" s="12" t="s">
        <v>120</v>
      </c>
      <c r="P12" s="13" t="s">
        <v>121</v>
      </c>
    </row>
    <row r="13" spans="1:33" ht="28.5" thickBot="1" x14ac:dyDescent="0.4">
      <c r="A13" s="9" t="s">
        <v>4</v>
      </c>
      <c r="B13" s="8" t="s">
        <v>13</v>
      </c>
      <c r="C13" s="8" t="s">
        <v>18</v>
      </c>
      <c r="D13" s="8" t="s">
        <v>23</v>
      </c>
      <c r="E13" s="8" t="s">
        <v>28</v>
      </c>
      <c r="F13" s="8" t="s">
        <v>32</v>
      </c>
      <c r="G13" s="8" t="s">
        <v>36</v>
      </c>
      <c r="H13" s="8" t="s">
        <v>40</v>
      </c>
      <c r="I13" s="8" t="s">
        <v>44</v>
      </c>
      <c r="J13" s="8" t="s">
        <v>48</v>
      </c>
      <c r="K13" s="8" t="s">
        <v>52</v>
      </c>
      <c r="L13" s="8" t="s">
        <v>56</v>
      </c>
      <c r="M13" s="8" t="s">
        <v>60</v>
      </c>
      <c r="N13" s="8" t="s">
        <v>64</v>
      </c>
      <c r="O13" s="8" t="s">
        <v>68</v>
      </c>
      <c r="P13" s="10" t="s">
        <v>72</v>
      </c>
    </row>
    <row r="14" spans="1:33" ht="28.5" thickBot="1" x14ac:dyDescent="0.4">
      <c r="A14" s="9" t="s">
        <v>5</v>
      </c>
      <c r="B14" s="8" t="s">
        <v>14</v>
      </c>
      <c r="C14" s="8" t="s">
        <v>19</v>
      </c>
      <c r="D14" s="8" t="s">
        <v>24</v>
      </c>
      <c r="E14" s="8" t="s">
        <v>29</v>
      </c>
      <c r="F14" s="8" t="s">
        <v>33</v>
      </c>
      <c r="G14" s="8" t="s">
        <v>37</v>
      </c>
      <c r="H14" s="8" t="s">
        <v>41</v>
      </c>
      <c r="I14" s="8" t="s">
        <v>45</v>
      </c>
      <c r="J14" s="8" t="s">
        <v>49</v>
      </c>
      <c r="K14" s="8" t="s">
        <v>53</v>
      </c>
      <c r="L14" s="8" t="s">
        <v>57</v>
      </c>
      <c r="M14" s="8" t="s">
        <v>61</v>
      </c>
      <c r="N14" s="8" t="s">
        <v>65</v>
      </c>
      <c r="O14" s="8" t="s">
        <v>69</v>
      </c>
      <c r="P14" s="10" t="s">
        <v>73</v>
      </c>
    </row>
    <row r="15" spans="1:33" ht="28" x14ac:dyDescent="0.35">
      <c r="A15" s="14" t="s">
        <v>6</v>
      </c>
      <c r="B15" s="15" t="s">
        <v>15</v>
      </c>
      <c r="C15" s="15" t="s">
        <v>20</v>
      </c>
      <c r="D15" s="15" t="s">
        <v>25</v>
      </c>
      <c r="E15" s="15" t="s">
        <v>30</v>
      </c>
      <c r="F15" s="15" t="s">
        <v>34</v>
      </c>
      <c r="G15" s="15" t="s">
        <v>38</v>
      </c>
      <c r="H15" s="15" t="s">
        <v>42</v>
      </c>
      <c r="I15" s="15" t="s">
        <v>46</v>
      </c>
      <c r="J15" s="15" t="s">
        <v>50</v>
      </c>
      <c r="K15" s="15" t="s">
        <v>54</v>
      </c>
      <c r="L15" s="15" t="s">
        <v>58</v>
      </c>
      <c r="M15" s="15" t="s">
        <v>62</v>
      </c>
      <c r="N15" s="15" t="s">
        <v>66</v>
      </c>
      <c r="O15" s="15" t="s">
        <v>70</v>
      </c>
      <c r="P15" s="16" t="s">
        <v>74</v>
      </c>
    </row>
    <row r="16" spans="1:33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8" spans="1:16" ht="15" thickBot="1" x14ac:dyDescent="0.4">
      <c r="A18" s="11" t="s">
        <v>75</v>
      </c>
      <c r="B18" s="12" t="s">
        <v>122</v>
      </c>
      <c r="C18" s="12" t="s">
        <v>123</v>
      </c>
      <c r="D18" s="12" t="s">
        <v>124</v>
      </c>
      <c r="E18" s="12" t="s">
        <v>125</v>
      </c>
      <c r="F18" s="12" t="s">
        <v>126</v>
      </c>
      <c r="G18" s="12" t="s">
        <v>127</v>
      </c>
      <c r="H18" s="12" t="s">
        <v>128</v>
      </c>
      <c r="I18" s="12" t="s">
        <v>129</v>
      </c>
      <c r="J18" s="12" t="s">
        <v>130</v>
      </c>
      <c r="K18" s="12" t="s">
        <v>131</v>
      </c>
      <c r="L18" s="12" t="s">
        <v>132</v>
      </c>
      <c r="M18" s="12" t="s">
        <v>133</v>
      </c>
      <c r="N18" s="12" t="s">
        <v>134</v>
      </c>
      <c r="O18" s="12" t="s">
        <v>135</v>
      </c>
      <c r="P18" s="13" t="s">
        <v>136</v>
      </c>
    </row>
    <row r="19" spans="1:16" ht="28.5" thickBot="1" x14ac:dyDescent="0.4">
      <c r="A19" s="9" t="s">
        <v>6</v>
      </c>
      <c r="B19" s="8" t="s">
        <v>15</v>
      </c>
      <c r="C19" s="8" t="s">
        <v>20</v>
      </c>
      <c r="D19" s="8" t="s">
        <v>25</v>
      </c>
      <c r="E19" s="8" t="s">
        <v>30</v>
      </c>
      <c r="F19" s="8" t="s">
        <v>34</v>
      </c>
      <c r="G19" s="8" t="s">
        <v>38</v>
      </c>
      <c r="H19" s="8" t="s">
        <v>42</v>
      </c>
      <c r="I19" s="8" t="s">
        <v>46</v>
      </c>
      <c r="J19" s="8" t="s">
        <v>50</v>
      </c>
      <c r="K19" s="8" t="s">
        <v>54</v>
      </c>
      <c r="L19" s="8" t="s">
        <v>58</v>
      </c>
      <c r="M19" s="8" t="s">
        <v>62</v>
      </c>
      <c r="N19" s="8" t="s">
        <v>66</v>
      </c>
      <c r="O19" s="8" t="s">
        <v>70</v>
      </c>
      <c r="P19" s="10" t="s">
        <v>74</v>
      </c>
    </row>
    <row r="20" spans="1:16" ht="15" thickBot="1" x14ac:dyDescent="0.4">
      <c r="A20" s="9" t="s">
        <v>7</v>
      </c>
      <c r="B20" s="8">
        <v>4</v>
      </c>
      <c r="C20" s="8">
        <v>3</v>
      </c>
      <c r="D20" s="8">
        <v>4</v>
      </c>
      <c r="E20" s="8">
        <v>3</v>
      </c>
      <c r="F20" s="8">
        <v>4</v>
      </c>
      <c r="G20" s="8">
        <v>3</v>
      </c>
      <c r="H20" s="8">
        <v>4</v>
      </c>
      <c r="I20" s="8">
        <v>3</v>
      </c>
      <c r="J20" s="8">
        <v>4</v>
      </c>
      <c r="K20" s="8">
        <v>3</v>
      </c>
      <c r="L20" s="8">
        <v>4</v>
      </c>
      <c r="M20" s="8">
        <v>3</v>
      </c>
      <c r="N20" s="8">
        <v>4</v>
      </c>
      <c r="O20" s="8">
        <v>3</v>
      </c>
      <c r="P20" s="10">
        <v>4</v>
      </c>
    </row>
    <row r="21" spans="1:16" ht="28" x14ac:dyDescent="0.35">
      <c r="A21" s="14" t="s">
        <v>137</v>
      </c>
      <c r="B21" s="15">
        <v>6</v>
      </c>
      <c r="C21" s="15">
        <v>5</v>
      </c>
      <c r="D21" s="15">
        <v>6</v>
      </c>
      <c r="E21" s="15">
        <v>5</v>
      </c>
      <c r="F21" s="15">
        <v>6</v>
      </c>
      <c r="G21" s="15">
        <v>5</v>
      </c>
      <c r="H21" s="15">
        <v>6</v>
      </c>
      <c r="I21" s="15">
        <v>5</v>
      </c>
      <c r="J21" s="15">
        <v>6</v>
      </c>
      <c r="K21" s="15">
        <v>5</v>
      </c>
      <c r="L21" s="15">
        <v>6</v>
      </c>
      <c r="M21" s="15">
        <v>5</v>
      </c>
      <c r="N21" s="15">
        <v>6</v>
      </c>
      <c r="O21" s="15">
        <v>5</v>
      </c>
      <c r="P21" s="16">
        <v>6</v>
      </c>
    </row>
  </sheetData>
  <mergeCells count="3">
    <mergeCell ref="R1:AG1"/>
    <mergeCell ref="R5:AG5"/>
    <mergeCell ref="R9:AG9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313619-0135-4C98-B4BF-9BAFF79B95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Beriwal</dc:creator>
  <cp:lastModifiedBy>Keshav Beriwal</cp:lastModifiedBy>
  <dcterms:created xsi:type="dcterms:W3CDTF">2025-11-11T18:11:39Z</dcterms:created>
  <dcterms:modified xsi:type="dcterms:W3CDTF">2025-11-12T09:01:54Z</dcterms:modified>
</cp:coreProperties>
</file>
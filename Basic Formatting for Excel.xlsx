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521af86f78e1a6/Documents/"/>
    </mc:Choice>
  </mc:AlternateContent>
  <xr:revisionPtr revIDLastSave="0" documentId="8_{AD2A0B9C-75DA-4E7F-A24B-72B8FE0AABF1}" xr6:coauthVersionLast="47" xr6:coauthVersionMax="47" xr10:uidLastSave="{00000000-0000-0000-0000-000000000000}"/>
  <bookViews>
    <workbookView xWindow="-108" yWindow="-108" windowWidth="23256" windowHeight="12456" xr2:uid="{68AC403C-5BC3-4C69-A1AF-14ABD1553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  <c r="D13" i="1"/>
  <c r="G14" i="1" l="1"/>
  <c r="G13" i="1"/>
  <c r="G15" i="1"/>
</calcChain>
</file>

<file path=xl/sharedStrings.xml><?xml version="1.0" encoding="utf-8"?>
<sst xmlns="http://schemas.openxmlformats.org/spreadsheetml/2006/main" count="36" uniqueCount="34">
  <si>
    <t>Roll No</t>
  </si>
  <si>
    <t>Name</t>
  </si>
  <si>
    <t xml:space="preserve">Email ID </t>
  </si>
  <si>
    <t>Salary</t>
  </si>
  <si>
    <t xml:space="preserve">Date of Registration </t>
  </si>
  <si>
    <t>Bonus</t>
  </si>
  <si>
    <t>Total salary</t>
  </si>
  <si>
    <t>Aamir</t>
  </si>
  <si>
    <t>Aamir@gmail.com</t>
  </si>
  <si>
    <t>Arun</t>
  </si>
  <si>
    <t>Arun@.com</t>
  </si>
  <si>
    <t>Ayushi</t>
  </si>
  <si>
    <t>Ayushi@gamil,com</t>
  </si>
  <si>
    <t>Bhoomi</t>
  </si>
  <si>
    <t>Bhoomi@gamil.com</t>
  </si>
  <si>
    <t>Gourav</t>
  </si>
  <si>
    <t xml:space="preserve">Gourav@gamil.com </t>
  </si>
  <si>
    <t>Kesav</t>
  </si>
  <si>
    <t>Kesav@gmail.com</t>
  </si>
  <si>
    <t>Khushi</t>
  </si>
  <si>
    <t>Khushi@gmail.com</t>
  </si>
  <si>
    <t>Mansi</t>
  </si>
  <si>
    <t>Mansi@gmail.com</t>
  </si>
  <si>
    <t xml:space="preserve">Rahul </t>
  </si>
  <si>
    <t>Rahul@gmail.com</t>
  </si>
  <si>
    <t>Sakshi</t>
  </si>
  <si>
    <t>Sakshi@gmail.com</t>
  </si>
  <si>
    <t>MIN</t>
  </si>
  <si>
    <t>AVG</t>
  </si>
  <si>
    <t xml:space="preserve">TOTAL SALARY </t>
  </si>
  <si>
    <t>MAX</t>
  </si>
  <si>
    <r>
      <rPr>
        <u/>
        <sz val="22"/>
        <color theme="1"/>
        <rFont val="Algerian"/>
        <family val="5"/>
      </rPr>
      <t>NIDHI ENTERPRISES</t>
    </r>
    <r>
      <rPr>
        <u/>
        <sz val="11"/>
        <color theme="1"/>
        <rFont val="Algerian"/>
        <family val="5"/>
      </rPr>
      <t xml:space="preserve"> </t>
    </r>
  </si>
  <si>
    <t xml:space="preserve">SUM </t>
  </si>
  <si>
    <t xml:space="preserve">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</si>
</sst>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lgerian"/>
      <family val="5"/>
    </font>
    <font>
      <u/>
      <sz val="22"/>
      <color theme="1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1" xfId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4" fillId="0" borderId="5" xfId="0" applyFont="1" applyBorder="1"/>
    <xf numFmtId="164" fontId="0" fillId="0" borderId="5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0" fillId="4" borderId="5" xfId="0" applyNumberFormat="1" applyFill="1" applyBorder="1"/>
    <xf numFmtId="0" fontId="1" fillId="4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6" borderId="5" xfId="0" applyFill="1" applyBorder="1"/>
    <xf numFmtId="0" fontId="0" fillId="5" borderId="5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165" fontId="0" fillId="0" borderId="4" xfId="0" applyNumberFormat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65" fontId="1" fillId="5" borderId="8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9">
    <dxf>
      <numFmt numFmtId="165" formatCode="&quot;₹&quot;\ #,##0"/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&quot;₹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₹&quot;\ #,##0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&quot;₹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12</xdr:row>
      <xdr:rowOff>81280</xdr:rowOff>
    </xdr:from>
    <xdr:to>
      <xdr:col>7</xdr:col>
      <xdr:colOff>558800</xdr:colOff>
      <xdr:row>12</xdr:row>
      <xdr:rowOff>91440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37BE8F-F72C-C55E-9470-149621B6FB14}"/>
            </a:ext>
          </a:extLst>
        </xdr:cNvPr>
        <xdr:cNvCxnSpPr/>
      </xdr:nvCxnSpPr>
      <xdr:spPr>
        <a:xfrm flipV="1">
          <a:off x="6959600" y="2453640"/>
          <a:ext cx="508000" cy="101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13</xdr:row>
      <xdr:rowOff>96520</xdr:rowOff>
    </xdr:from>
    <xdr:to>
      <xdr:col>7</xdr:col>
      <xdr:colOff>589280</xdr:colOff>
      <xdr:row>13</xdr:row>
      <xdr:rowOff>101600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1D83799-5DE9-A46A-03B2-5604EFE521C7}"/>
            </a:ext>
          </a:extLst>
        </xdr:cNvPr>
        <xdr:cNvCxnSpPr/>
      </xdr:nvCxnSpPr>
      <xdr:spPr>
        <a:xfrm flipV="1">
          <a:off x="6985000" y="2651760"/>
          <a:ext cx="513080" cy="50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14</xdr:row>
      <xdr:rowOff>91440</xdr:rowOff>
    </xdr:from>
    <xdr:to>
      <xdr:col>7</xdr:col>
      <xdr:colOff>558800</xdr:colOff>
      <xdr:row>14</xdr:row>
      <xdr:rowOff>96520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43097DE-A8DF-6B3E-24C2-DAB8B042EE1E}"/>
            </a:ext>
          </a:extLst>
        </xdr:cNvPr>
        <xdr:cNvCxnSpPr/>
      </xdr:nvCxnSpPr>
      <xdr:spPr>
        <a:xfrm flipV="1">
          <a:off x="7010400" y="2829560"/>
          <a:ext cx="457200" cy="50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502920</xdr:colOff>
      <xdr:row>12</xdr:row>
      <xdr:rowOff>91440</xdr:rowOff>
    </xdr:from>
    <xdr:to>
      <xdr:col>2</xdr:col>
      <xdr:colOff>508000</xdr:colOff>
      <xdr:row>13</xdr:row>
      <xdr:rowOff>116840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C73C05D-03C6-D978-E8CD-043F9912F048}"/>
            </a:ext>
          </a:extLst>
        </xdr:cNvPr>
        <xdr:cNvCxnSpPr/>
      </xdr:nvCxnSpPr>
      <xdr:spPr>
        <a:xfrm>
          <a:off x="1996440" y="2463800"/>
          <a:ext cx="5080" cy="2082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3A438-1D2C-4DB8-905A-529110237246}" name="Table1" displayName="Table1" ref="A2:G13" totalsRowCount="1" headerRowDxfId="18" totalsRowDxfId="15" headerRowBorderDxfId="17" tableBorderDxfId="16" totalsRowBorderDxfId="14">
  <autoFilter ref="A2:G12" xr:uid="{D953A438-1D2C-4DB8-905A-529110237246}"/>
  <tableColumns count="7">
    <tableColumn id="1" xr3:uid="{2F5FEE18-7348-4C4C-BD2A-A4E66C2A6F9A}" name="Roll No" dataDxfId="13" totalsRowDxfId="12"/>
    <tableColumn id="2" xr3:uid="{4D4C791F-5D26-4564-B2BB-A681A956B9A8}" name="Name" dataDxfId="11" totalsRowDxfId="10"/>
    <tableColumn id="3" xr3:uid="{C1222F28-6F1B-459F-8241-DFE5AF5FA19F}" name="Email ID " totalsRowLabel="AVG" dataDxfId="9" totalsRowDxfId="8"/>
    <tableColumn id="4" xr3:uid="{F3502E60-447A-420D-A7CA-1CCD2CDDF92D}" name="Salary" totalsRowFunction="custom" dataDxfId="7" totalsRowDxfId="6">
      <totalsRowFormula>SUM(Table1[Salary])</totalsRowFormula>
    </tableColumn>
    <tableColumn id="5" xr3:uid="{6D8CCC70-F31C-4C05-A3B1-931FCEDCDC2F}" name="Date of Registration " dataDxfId="5" totalsRowDxfId="4"/>
    <tableColumn id="6" xr3:uid="{0DDCBAB9-3940-43BC-B221-503F462504A6}" name="Bonus" totalsRowLabel="TOTAL SALARY " dataDxfId="3" totalsRowDxfId="2"/>
    <tableColumn id="7" xr3:uid="{B74D9397-52D9-4554-AA03-288CBA936783}" name="Total salary" totalsRowFunction="custom" dataDxfId="1" totalsRowDxfId="0">
      <calculatedColumnFormula>SUM(Table1[[#This Row],[Salary]],Table1[[#This Row],[Bonus]])</calculatedColumnFormula>
      <totalsRowFormula>SUM(G3:G12)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yushi@gamil,com" TargetMode="External"/><Relationship Id="rId3" Type="http://schemas.openxmlformats.org/officeDocument/2006/relationships/hyperlink" Target="mailto:Kesav@gmail.com" TargetMode="External"/><Relationship Id="rId7" Type="http://schemas.openxmlformats.org/officeDocument/2006/relationships/hyperlink" Target="mailto:Bhoomi@gam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amir@gmail.com" TargetMode="External"/><Relationship Id="rId6" Type="http://schemas.openxmlformats.org/officeDocument/2006/relationships/hyperlink" Target="mailto:Gourav@gam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Mansi@gmail.com" TargetMode="External"/><Relationship Id="rId10" Type="http://schemas.openxmlformats.org/officeDocument/2006/relationships/hyperlink" Target="mailto:Sakshi@gmail.com" TargetMode="External"/><Relationship Id="rId4" Type="http://schemas.openxmlformats.org/officeDocument/2006/relationships/hyperlink" Target="mailto:Khushi@gmail.com" TargetMode="External"/><Relationship Id="rId9" Type="http://schemas.openxmlformats.org/officeDocument/2006/relationships/hyperlink" Target="mailto:Arun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E318-E9C2-435E-95D6-63A3E34D1412}">
  <dimension ref="A1:I15"/>
  <sheetViews>
    <sheetView tabSelected="1" zoomScale="150" zoomScaleNormal="150" workbookViewId="0">
      <selection activeCell="E14" sqref="E14"/>
    </sheetView>
  </sheetViews>
  <sheetFormatPr defaultRowHeight="14.4" x14ac:dyDescent="0.3"/>
  <cols>
    <col min="1" max="1" width="11.33203125" bestFit="1" customWidth="1"/>
    <col min="2" max="2" width="10.44140625" bestFit="1" customWidth="1"/>
    <col min="3" max="3" width="17.77734375" bestFit="1" customWidth="1"/>
    <col min="4" max="4" width="10.6640625" bestFit="1" customWidth="1"/>
    <col min="5" max="5" width="22.109375" bestFit="1" customWidth="1"/>
    <col min="6" max="6" width="13.5546875" bestFit="1" customWidth="1"/>
    <col min="7" max="7" width="14.77734375" customWidth="1"/>
  </cols>
  <sheetData>
    <row r="1" spans="1:9" ht="31.2" x14ac:dyDescent="0.6">
      <c r="A1" s="32" t="s">
        <v>31</v>
      </c>
      <c r="B1" s="32"/>
      <c r="C1" s="32"/>
      <c r="D1" s="32"/>
      <c r="E1" s="32"/>
      <c r="F1" s="32"/>
      <c r="G1" s="32"/>
    </row>
    <row r="2" spans="1:9" x14ac:dyDescent="0.3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2" t="s">
        <v>6</v>
      </c>
    </row>
    <row r="3" spans="1:9" x14ac:dyDescent="0.3">
      <c r="A3" s="21">
        <v>101</v>
      </c>
      <c r="B3" s="18" t="s">
        <v>7</v>
      </c>
      <c r="C3" s="2" t="s">
        <v>8</v>
      </c>
      <c r="D3" s="1">
        <v>25000</v>
      </c>
      <c r="E3" s="3">
        <v>45889</v>
      </c>
      <c r="F3" s="30">
        <v>1000</v>
      </c>
      <c r="G3" s="25">
        <f>SUM(Table1[[#This Row],[Salary]],Table1[[#This Row],[Bonus]])</f>
        <v>26000</v>
      </c>
    </row>
    <row r="4" spans="1:9" x14ac:dyDescent="0.3">
      <c r="A4" s="22">
        <v>102</v>
      </c>
      <c r="B4" s="19" t="s">
        <v>9</v>
      </c>
      <c r="C4" s="6" t="s">
        <v>10</v>
      </c>
      <c r="D4" s="5">
        <v>20000</v>
      </c>
      <c r="E4" s="7">
        <v>45890</v>
      </c>
      <c r="F4" s="31">
        <v>2000</v>
      </c>
      <c r="G4" s="26">
        <f>SUM(Table1[[#This Row],[Salary]],Table1[[#This Row],[Bonus]])</f>
        <v>22000</v>
      </c>
    </row>
    <row r="5" spans="1:9" x14ac:dyDescent="0.3">
      <c r="A5" s="21">
        <v>103</v>
      </c>
      <c r="B5" s="18" t="s">
        <v>11</v>
      </c>
      <c r="C5" s="2" t="s">
        <v>12</v>
      </c>
      <c r="D5" s="1">
        <v>25000</v>
      </c>
      <c r="E5" s="3">
        <v>45891</v>
      </c>
      <c r="F5" s="30">
        <v>2500</v>
      </c>
      <c r="G5" s="25">
        <f>SUM(Table1[[#This Row],[Salary]],Table1[[#This Row],[Bonus]])</f>
        <v>27500</v>
      </c>
    </row>
    <row r="6" spans="1:9" x14ac:dyDescent="0.3">
      <c r="A6" s="21">
        <v>104</v>
      </c>
      <c r="B6" s="20" t="s">
        <v>13</v>
      </c>
      <c r="C6" s="4" t="s">
        <v>14</v>
      </c>
      <c r="D6" s="1">
        <v>46000</v>
      </c>
      <c r="E6" s="3">
        <v>45892</v>
      </c>
      <c r="F6" s="30">
        <v>3000</v>
      </c>
      <c r="G6" s="25">
        <f>SUM(Table1[[#This Row],[Salary]],Table1[[#This Row],[Bonus]])</f>
        <v>49000</v>
      </c>
    </row>
    <row r="7" spans="1:9" x14ac:dyDescent="0.3">
      <c r="A7" s="21">
        <v>105</v>
      </c>
      <c r="B7" s="18" t="s">
        <v>15</v>
      </c>
      <c r="C7" s="2" t="s">
        <v>16</v>
      </c>
      <c r="D7" s="1">
        <v>52200</v>
      </c>
      <c r="E7" s="3">
        <v>45893</v>
      </c>
      <c r="F7" s="30">
        <v>4000</v>
      </c>
      <c r="G7" s="25">
        <f>SUM(Table1[[#This Row],[Salary]],Table1[[#This Row],[Bonus]])</f>
        <v>56200</v>
      </c>
    </row>
    <row r="8" spans="1:9" x14ac:dyDescent="0.3">
      <c r="A8" s="22">
        <v>106</v>
      </c>
      <c r="B8" s="19" t="s">
        <v>17</v>
      </c>
      <c r="C8" s="6" t="s">
        <v>18</v>
      </c>
      <c r="D8" s="5">
        <v>45200</v>
      </c>
      <c r="E8" s="7">
        <v>45894</v>
      </c>
      <c r="F8" s="31">
        <v>2500</v>
      </c>
      <c r="G8" s="26">
        <f>SUM(Table1[[#This Row],[Salary]],Table1[[#This Row],[Bonus]])</f>
        <v>47700</v>
      </c>
    </row>
    <row r="9" spans="1:9" x14ac:dyDescent="0.3">
      <c r="A9" s="21">
        <v>107</v>
      </c>
      <c r="B9" s="18" t="s">
        <v>19</v>
      </c>
      <c r="C9" s="2" t="s">
        <v>20</v>
      </c>
      <c r="D9" s="1">
        <v>21000</v>
      </c>
      <c r="E9" s="3">
        <v>45895</v>
      </c>
      <c r="F9" s="30">
        <v>1500</v>
      </c>
      <c r="G9" s="25">
        <f>SUM(Table1[[#This Row],[Salary]],Table1[[#This Row],[Bonus]])</f>
        <v>22500</v>
      </c>
    </row>
    <row r="10" spans="1:9" x14ac:dyDescent="0.3">
      <c r="A10" s="21">
        <v>108</v>
      </c>
      <c r="B10" s="20" t="s">
        <v>21</v>
      </c>
      <c r="C10" s="4" t="s">
        <v>22</v>
      </c>
      <c r="D10" s="1">
        <v>52211</v>
      </c>
      <c r="E10" s="3">
        <v>45896</v>
      </c>
      <c r="F10" s="30">
        <v>2500</v>
      </c>
      <c r="G10" s="25">
        <f>SUM(Table1[[#This Row],[Salary]],Table1[[#This Row],[Bonus]])</f>
        <v>54711</v>
      </c>
    </row>
    <row r="11" spans="1:9" x14ac:dyDescent="0.3">
      <c r="A11" s="21">
        <v>109</v>
      </c>
      <c r="B11" s="18" t="s">
        <v>23</v>
      </c>
      <c r="C11" s="2" t="s">
        <v>24</v>
      </c>
      <c r="D11" s="1">
        <v>32000</v>
      </c>
      <c r="E11" s="3">
        <v>45897</v>
      </c>
      <c r="F11" s="30">
        <v>2000</v>
      </c>
      <c r="G11" s="25">
        <f>SUM(Table1[[#This Row],[Salary]],Table1[[#This Row],[Bonus]])</f>
        <v>34000</v>
      </c>
    </row>
    <row r="12" spans="1:9" ht="11.4" customHeight="1" x14ac:dyDescent="0.3">
      <c r="A12" s="21">
        <v>110</v>
      </c>
      <c r="B12" s="20" t="s">
        <v>25</v>
      </c>
      <c r="C12" s="4" t="s">
        <v>26</v>
      </c>
      <c r="D12" s="1">
        <v>30000</v>
      </c>
      <c r="E12" s="3">
        <v>45898</v>
      </c>
      <c r="F12" s="30">
        <v>1500</v>
      </c>
      <c r="G12" s="25">
        <f>SUM(Table1[[#This Row],[Salary]],Table1[[#This Row],[Bonus]])</f>
        <v>31500</v>
      </c>
    </row>
    <row r="13" spans="1:9" x14ac:dyDescent="0.3">
      <c r="A13" s="23"/>
      <c r="B13" s="8"/>
      <c r="C13" s="16" t="s">
        <v>28</v>
      </c>
      <c r="D13" s="17">
        <f>SUM(Table1[Salary])</f>
        <v>348611</v>
      </c>
      <c r="E13" s="9"/>
      <c r="F13" s="13" t="s">
        <v>29</v>
      </c>
      <c r="G13" s="27">
        <f>SUM(G3:G12)</f>
        <v>371111</v>
      </c>
      <c r="I13" t="s">
        <v>32</v>
      </c>
    </row>
    <row r="14" spans="1:9" x14ac:dyDescent="0.3">
      <c r="A14" s="24"/>
      <c r="C14" t="s">
        <v>28</v>
      </c>
      <c r="F14" s="14" t="s">
        <v>27</v>
      </c>
      <c r="G14" s="28">
        <f>MIN(G3:G12)</f>
        <v>22000</v>
      </c>
      <c r="I14" t="s">
        <v>33</v>
      </c>
    </row>
    <row r="15" spans="1:9" x14ac:dyDescent="0.3">
      <c r="A15" s="24"/>
      <c r="F15" s="15" t="s">
        <v>30</v>
      </c>
      <c r="G15" s="29">
        <f>MAX(Table1[Total salary])</f>
        <v>56200</v>
      </c>
      <c r="I15" t="s">
        <v>30</v>
      </c>
    </row>
  </sheetData>
  <mergeCells count="1">
    <mergeCell ref="A1:G1"/>
  </mergeCells>
  <conditionalFormatting sqref="C3:C5 C7:C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{CB02D455-194A-47B1-8CEF-639206286F30}</x14:id>
        </ext>
      </extLst>
    </cfRule>
  </conditionalFormatting>
  <conditionalFormatting sqref="F3:G1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{09495F26-1743-4171-881E-3839122B27BB}</x14:id>
        </ext>
      </extLst>
    </cfRule>
  </conditionalFormatting>
  <hyperlinks>
    <hyperlink ref="C3" r:id="rId1" xr:uid="{181F1F46-F7C9-4C88-AE69-6B6100BDEFD5}"/>
    <hyperlink ref="C11" r:id="rId2" xr:uid="{5C9936F1-57B1-4C82-A97E-8E019CC33E02}"/>
    <hyperlink ref="C8" r:id="rId3" xr:uid="{AD0990C1-3D45-4E81-A0DC-AC99D768E2E0}"/>
    <hyperlink ref="C9" r:id="rId4" xr:uid="{CAA88A41-FFBB-461D-B227-9AEF2375695D}"/>
    <hyperlink ref="C10" r:id="rId5" xr:uid="{20285A44-179E-47B1-A138-8375E03E2EEC}"/>
    <hyperlink ref="C7" r:id="rId6" xr:uid="{1768CDA9-150D-459E-B175-ED7B63CB91E4}"/>
    <hyperlink ref="C6" r:id="rId7" xr:uid="{6F68D23A-BFB1-4219-81EF-A9A1B35D9843}"/>
    <hyperlink ref="C5" r:id="rId8" xr:uid="{6010ACAC-0B6D-4C85-9A34-5CEC25B69BA6}"/>
    <hyperlink ref="C4" r:id="rId9" xr:uid="{F2626999-CFB0-4BC2-A057-5225B042B314}"/>
    <hyperlink ref="C12" r:id="rId10" xr:uid="{10EAFAE8-0DE6-4B09-8F49-1D2EBAD6A00E}"/>
  </hyperlinks>
  <pageMargins left="0.7" right="0.7" top="0.75" bottom="0.75" header="0.3" footer="0.3"/>
  <drawing r:id="rId11"/>
  <tableParts count="1">
    <tablePart r:id="rId1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02D455-194A-47B1-8CEF-639206286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D3:D12</xm:sqref>
        </x14:conditionalFormatting>
        <x14:conditionalFormatting xmlns:xm="http://schemas.microsoft.com/office/excel/2006/main">
          <x14:cfRule type="dataBar" id="{09495F26-1743-4171-881E-3839122B27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F3:G12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 choudhary</dc:creator>
  <cp:lastModifiedBy>sakshi kumari</cp:lastModifiedBy>
  <dcterms:created xsi:type="dcterms:W3CDTF">2025-09-16T03:41:50Z</dcterms:created>
  <dcterms:modified xsi:type="dcterms:W3CDTF">2025-11-13T04:57:33Z</dcterms:modified>
</cp:coreProperties>
</file>